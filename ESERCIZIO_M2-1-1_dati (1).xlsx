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luti_Iva" sheetId="1" r:id="rId5"/>
    <sheet state="visible" name="Giudizio" sheetId="2" r:id="rId6"/>
    <sheet state="visible" name="Fatture" sheetId="3" r:id="rId7"/>
  </sheets>
  <definedNames>
    <definedName name="MODEM">Assoluti_Iva!$A$133:$C$149</definedName>
    <definedName name="VIDEO_B">Assoluti_Iva!$A$37:$C$61</definedName>
    <definedName name="MAIN_B">Assoluti_Iva!$A$20:$C$35</definedName>
    <definedName name="MEM">Assoluti_Iva!$A$129:$C$131</definedName>
    <definedName name="DANIELE">#REF!</definedName>
    <definedName name="HD">Assoluti_Iva!$A$79:$C$102</definedName>
    <definedName name="ACCES">Assoluti_Iva!$A$193:$C$227</definedName>
    <definedName name="CAB">Assoluti_Iva!$A$315:$C$324</definedName>
    <definedName name="IO_B">Assoluti_Iva!$A$63:$C$77</definedName>
    <definedName name="STAMP">Assoluti_Iva!$A$280:$C$313</definedName>
    <definedName name="MON">Assoluti_Iva!$A$2:$C$15</definedName>
    <definedName name="CONT">Assoluti_Iva!$A$326:$C$337</definedName>
    <definedName name="CDROM">Assoluti_Iva!$A$108:$C$115</definedName>
    <definedName name="Codice">#REF!</definedName>
    <definedName name="MEDIA">Assoluti_Iva!$A$151:$C$161</definedName>
    <definedName name="SOFT">Assoluti_Iva!$A$229:$C$278</definedName>
    <definedName name="IMPORTO">#REF!</definedName>
    <definedName name="MONLCD">Assoluti_Iva!$A$17:$C$18</definedName>
    <definedName name="MAST">Assoluti_Iva!$A$117:$C$127</definedName>
    <definedName name="IMPO">#REF!</definedName>
    <definedName name="TAST">Assoluti_Iva!$A$185:$C$191</definedName>
    <definedName name="CPU">Assoluti_Iva!$A$163:$C$183</definedName>
    <definedName name="IVATOT">Assoluti_Iva!$G$1</definedName>
    <definedName name="DATI">Assoluti_Iva!$A$1:$C$337</definedName>
    <definedName name="MO">Assoluti_Iva!$A$6:$C$6</definedName>
  </definedNames>
  <calcPr/>
</workbook>
</file>

<file path=xl/sharedStrings.xml><?xml version="1.0" encoding="utf-8"?>
<sst xmlns="http://schemas.openxmlformats.org/spreadsheetml/2006/main" count="813" uniqueCount="574">
  <si>
    <t>MONITOR</t>
  </si>
  <si>
    <t>DESC</t>
  </si>
  <si>
    <t>IMPONIBILE IVA INCLUSA</t>
  </si>
  <si>
    <t>Ammontare IVA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</si>
  <si>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</si>
  <si>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</si>
  <si>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</si>
  <si>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</si>
  <si>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</si>
  <si>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</si>
  <si>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</si>
  <si>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</si>
  <si>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</si>
  <si>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</si>
  <si>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</si>
  <si>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</si>
  <si>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</si>
  <si>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</si>
  <si>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</si>
  <si>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</si>
  <si>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</si>
  <si>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</si>
  <si>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</si>
  <si>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</si>
  <si>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</si>
  <si>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</si>
  <si>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</si>
  <si>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</si>
  <si>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</si>
  <si>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</si>
  <si>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</si>
  <si>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</si>
  <si>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</si>
  <si>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</si>
  <si>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</si>
  <si>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</si>
  <si>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</si>
  <si>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</si>
  <si>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</si>
  <si>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</si>
  <si>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</si>
  <si>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</si>
  <si>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</si>
  <si>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</si>
  <si>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</si>
  <si>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</si>
  <si>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</si>
  <si>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</si>
  <si>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</si>
  <si>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</si>
  <si>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</si>
  <si>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</si>
  <si>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</si>
  <si>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</si>
  <si>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</si>
  <si>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</si>
  <si>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</si>
  <si>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</si>
  <si>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</si>
  <si>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</si>
  <si>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</si>
  <si>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</si>
  <si>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</si>
  <si>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</si>
  <si>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</si>
  <si>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</si>
  <si>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</si>
  <si>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</si>
  <si>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</si>
  <si>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</si>
  <si>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</si>
  <si>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</si>
  <si>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</si>
  <si>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</si>
  <si>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</si>
  <si>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</si>
  <si>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</si>
  <si>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</si>
  <si>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</si>
  <si>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</si>
  <si>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</si>
  <si>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</si>
  <si>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</si>
  <si>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</si>
  <si>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</si>
  <si>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</si>
  <si>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</si>
  <si>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</si>
  <si>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</si>
  <si>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</si>
  <si>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</si>
  <si>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</si>
  <si>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</si>
  <si>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</si>
  <si>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</si>
  <si>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</si>
  <si>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</si>
  <si>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</si>
  <si>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</si>
  <si>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</si>
  <si>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</si>
  <si>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</si>
  <si>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</si>
  <si>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</si>
  <si>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</si>
  <si>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</si>
  <si>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</si>
  <si>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</si>
  <si>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</si>
  <si>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</si>
  <si>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</si>
  <si>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</si>
  <si>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</si>
  <si>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</si>
  <si>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</si>
  <si>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</si>
  <si>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</si>
  <si>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</si>
  <si>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</si>
  <si>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</si>
  <si>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</si>
  <si>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</si>
  <si>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</si>
  <si>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</si>
  <si>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</si>
  <si>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</si>
  <si>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</si>
  <si>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</si>
  <si>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</si>
  <si>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</si>
  <si>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</si>
  <si>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</si>
  <si>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</si>
  <si>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</si>
  <si>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</si>
  <si>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</si>
  <si>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</si>
  <si>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</si>
  <si>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</si>
  <si>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</si>
  <si>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</si>
  <si>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</si>
  <si>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</si>
  <si>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</si>
  <si>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</si>
  <si>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</si>
  <si>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</si>
  <si>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</si>
  <si>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</si>
  <si>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</si>
  <si>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</si>
  <si>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</si>
  <si>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</si>
  <si>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</si>
  <si>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</si>
  <si>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</si>
  <si>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</si>
  <si>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</si>
  <si>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</si>
  <si>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</si>
  <si>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</si>
  <si>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</si>
  <si>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</si>
  <si>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</si>
  <si>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</si>
  <si>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</si>
  <si>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</si>
  <si>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</si>
  <si>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</si>
  <si>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</si>
  <si>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</si>
  <si>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</si>
  <si>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</si>
  <si>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</si>
  <si>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</si>
  <si>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</si>
  <si>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</si>
  <si>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</si>
  <si>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</si>
  <si>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</si>
  <si>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</si>
  <si>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</si>
  <si>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</si>
  <si>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</si>
  <si>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</si>
  <si>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</si>
  <si>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</si>
  <si>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</si>
  <si>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</si>
  <si>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</si>
  <si>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</si>
  <si>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</si>
  <si>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</si>
  <si>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</si>
  <si>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</si>
  <si>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</si>
  <si>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</si>
  <si>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</si>
  <si>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</si>
  <si>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</si>
  <si>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</si>
  <si>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</si>
  <si>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</si>
  <si>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</si>
  <si>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</si>
  <si>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</si>
  <si>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</si>
  <si>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</si>
  <si>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</si>
  <si>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</si>
  <si>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</si>
  <si>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</si>
  <si>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</si>
  <si>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</si>
  <si>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</si>
  <si>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</si>
  <si>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</si>
  <si>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</si>
  <si>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</si>
  <si>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</si>
  <si>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</si>
  <si>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</si>
  <si>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</si>
  <si>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</si>
  <si>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</si>
  <si>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</si>
  <si>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</si>
  <si>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</si>
  <si>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</si>
  <si>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</si>
  <si>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</si>
  <si>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</si>
  <si>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</si>
  <si>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</si>
  <si>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</si>
  <si>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</si>
  <si>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</si>
  <si>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</si>
  <si>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</si>
  <si>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</si>
  <si>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</si>
  <si>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</si>
  <si>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</si>
  <si>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</si>
  <si>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</si>
  <si>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</si>
  <si>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</si>
  <si>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</si>
  <si>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</si>
  <si>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</si>
  <si>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</si>
  <si>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</si>
  <si>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</si>
  <si>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</si>
  <si>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</si>
  <si>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</si>
  <si>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</si>
  <si>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</si>
  <si>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</si>
  <si>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</si>
  <si>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</si>
  <si>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</si>
  <si>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</si>
  <si>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</si>
  <si>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</si>
  <si>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</si>
  <si>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</si>
  <si>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</si>
  <si>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</si>
  <si>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</si>
  <si>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</si>
  <si>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</si>
  <si>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</si>
  <si>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</si>
  <si>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</si>
  <si>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</si>
  <si>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</si>
  <si>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</si>
  <si>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</si>
  <si>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</si>
  <si>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</si>
  <si>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</si>
  <si>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</si>
  <si>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</si>
  <si>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</si>
  <si>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</si>
  <si>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</si>
  <si>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</si>
  <si>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</si>
  <si>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</si>
  <si>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</si>
  <si>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</si>
  <si>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</si>
  <si>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</si>
  <si>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</si>
  <si>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</si>
  <si>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</si>
  <si>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</si>
  <si>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</si>
  <si>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</si>
  <si>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</si>
  <si>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</si>
  <si>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</si>
  <si>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</si>
  <si>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</si>
  <si>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</si>
  <si>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</si>
  <si>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</si>
  <si>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</si>
  <si>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</si>
  <si>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</si>
  <si>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</si>
  <si>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</si>
  <si>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</si>
  <si>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</si>
  <si>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</si>
  <si>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</si>
  <si>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</si>
  <si>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</si>
  <si>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</si>
  <si>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</si>
  <si>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</si>
  <si>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</si>
  <si>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</si>
  <si>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</si>
  <si>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</si>
  <si>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</si>
  <si>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</si>
  <si>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</si>
  <si>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</si>
  <si>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</si>
  <si>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</si>
  <si>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</si>
  <si>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</si>
  <si>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</si>
  <si>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</si>
  <si>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</si>
  <si>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</si>
  <si>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</si>
  <si>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</si>
  <si>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</si>
  <si>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</si>
  <si>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</si>
  <si>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</si>
  <si>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</si>
  <si>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</si>
  <si>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</si>
  <si>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</si>
  <si>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</si>
  <si>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</si>
  <si>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</si>
  <si>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</si>
  <si>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</si>
  <si>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</si>
  <si>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</si>
  <si>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</si>
  <si>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</si>
  <si>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</si>
  <si>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</si>
  <si>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</si>
  <si>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</si>
  <si>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</si>
  <si>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</si>
  <si>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</si>
  <si>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</si>
  <si>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</si>
  <si>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</si>
  <si>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</si>
  <si>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</si>
  <si>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</si>
  <si>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</si>
  <si>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</si>
  <si>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</si>
  <si>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</si>
  <si>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</si>
  <si>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</si>
  <si>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</si>
  <si>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</si>
  <si>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</si>
  <si>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</si>
  <si>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</si>
  <si>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</si>
  <si>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</si>
  <si>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</si>
  <si>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</si>
  <si>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</si>
  <si>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</si>
  <si>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</si>
  <si>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</si>
  <si>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</si>
  <si>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</si>
  <si>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</si>
  <si>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</si>
  <si>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</si>
  <si>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</si>
  <si>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</si>
  <si>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</si>
  <si>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</si>
  <si>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</si>
  <si>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</si>
  <si>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</si>
  <si>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</si>
  <si>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</si>
  <si>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</si>
  <si>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</si>
  <si>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</si>
  <si>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</si>
  <si>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</si>
  <si>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</si>
  <si>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</si>
  <si>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</si>
  <si>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</si>
  <si>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</si>
  <si>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</si>
  <si>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</si>
  <si>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</si>
  <si>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</si>
  <si>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</si>
  <si>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</si>
  <si>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</si>
  <si>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</si>
  <si>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</si>
  <si>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</si>
  <si>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</si>
  <si>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</si>
  <si>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</si>
  <si>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</si>
  <si>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</si>
  <si>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</si>
  <si>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</si>
  <si>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</si>
  <si>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</si>
  <si>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</si>
  <si>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</si>
  <si>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</si>
  <si>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</si>
  <si>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</si>
  <si>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</si>
  <si>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</si>
  <si>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</si>
  <si>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</si>
  <si>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</si>
  <si>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</si>
  <si>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</si>
  <si>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</si>
  <si>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</si>
  <si>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</si>
  <si>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</si>
  <si>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</si>
  <si>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</si>
  <si>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</si>
  <si>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</si>
  <si>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</si>
  <si>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</si>
  <si>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</si>
  <si>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</si>
  <si>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</si>
  <si>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</si>
  <si>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</si>
  <si>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</si>
  <si>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</si>
  <si>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</si>
  <si>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</si>
  <si>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</si>
  <si>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</si>
  <si>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</si>
  <si>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</si>
  <si>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</si>
  <si>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</si>
  <si>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</si>
  <si>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</si>
  <si>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</si>
  <si>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</si>
  <si>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</si>
  <si>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</si>
  <si>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</si>
  <si>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</si>
  <si>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</si>
  <si>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</si>
  <si>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</si>
  <si>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</si>
  <si>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</si>
  <si>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</si>
  <si>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</si>
  <si>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</si>
  <si>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</si>
  <si>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</si>
  <si>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</si>
  <si>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</si>
  <si>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</si>
  <si>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</si>
  <si>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</si>
  <si>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</si>
  <si>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</si>
  <si>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respinto</t>
  </si>
  <si>
    <t>sufficiente</t>
  </si>
  <si>
    <t>discreto</t>
  </si>
  <si>
    <t>buono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</si>
  <si>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</si>
  <si>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</si>
  <si>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</si>
  <si>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</si>
  <si>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</si>
  <si>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</si>
  <si>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</si>
  <si>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</si>
  <si>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Alimentari</t>
  </si>
  <si>
    <t>H&amp;B</t>
  </si>
  <si>
    <t>Svago</t>
  </si>
  <si>
    <t>Personale</t>
  </si>
  <si>
    <t>Fletcher's for Children</t>
  </si>
  <si>
    <t>Attrezzatura</t>
  </si>
  <si>
    <t>Hardware</t>
  </si>
  <si>
    <t>Barber Shop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</si>
  <si>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</si>
  <si>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</si>
  <si>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</si>
  <si>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</si>
  <si>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</si>
  <si>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</si>
  <si>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</si>
  <si>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</si>
  <si>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</si>
  <si>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</si>
  <si>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Biobottoms</t>
  </si>
  <si>
    <t>Furrow Building Materials</t>
  </si>
  <si>
    <t>Educazione dei figli</t>
  </si>
  <si>
    <t>Epcot Center</t>
  </si>
  <si>
    <t>Chinaberry Book</t>
  </si>
  <si>
    <t>Biergarten</t>
  </si>
  <si>
    <t>Alaska Airlines</t>
  </si>
  <si>
    <t>Viaggio d'affari</t>
  </si>
  <si>
    <t>American Airlines</t>
  </si>
  <si>
    <t>DeFrisco's</t>
  </si>
  <si>
    <t>Ristorante</t>
  </si>
  <si>
    <t>Airport City Taxi</t>
  </si>
  <si>
    <t>Viaggio d'affari: trasporto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</si>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</sst>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0">
    <font>
      <sz val="10.0"/>
      <color rgb="FF000000"/>
      <name val="Calibri"/>
      <scheme val="minor"/>
    </font>
    <font>
      <b/>
      <sz val="10.0"/>
      <color theme="1"/>
      <name val="Arial"/>
    </font>
    <font>
      <b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Verdana"/>
    </font>
    <font>
      <color theme="1"/>
      <name val="Calibri"/>
    </font>
    <font>
      <b/>
      <sz val="13.0"/>
      <color rgb="FF1F497D"/>
      <name val="Calibri"/>
    </font>
    <font>
      <b/>
      <sz val="12.0"/>
      <color theme="1"/>
      <name val="Arial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/>
    <border>
      <bottom style="thick">
        <color rgb="FFA6BFD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2" xfId="0" applyAlignment="1" applyFont="1" applyNumberFormat="1">
      <alignment readingOrder="0"/>
    </xf>
    <xf borderId="0" fillId="0" fontId="1" numFmtId="9" xfId="0" applyFont="1" applyNumberFormat="1"/>
    <xf borderId="0" fillId="0" fontId="3" numFmtId="0" xfId="0" applyFont="1"/>
    <xf borderId="0" fillId="0" fontId="3" numFmtId="164" xfId="0" applyFont="1" applyNumberFormat="1"/>
    <xf borderId="0" fillId="0" fontId="4" numFmtId="2" xfId="0" applyAlignment="1" applyFont="1" applyNumberFormat="1">
      <alignment readingOrder="0"/>
    </xf>
    <xf borderId="0" fillId="0" fontId="3" numFmtId="2" xfId="0" applyFont="1" applyNumberFormat="1"/>
    <xf borderId="0" fillId="0" fontId="4" numFmtId="2" xfId="0" applyFont="1" applyNumberFormat="1"/>
    <xf borderId="0" fillId="2" fontId="5" numFmtId="0" xfId="0" applyFill="1" applyFont="1"/>
    <xf borderId="0" fillId="3" fontId="6" numFmtId="0" xfId="0" applyFill="1" applyFont="1"/>
    <xf borderId="0" fillId="0" fontId="6" numFmtId="0" xfId="0" applyFont="1"/>
    <xf borderId="0" fillId="0" fontId="3" numFmtId="0" xfId="0" applyAlignment="1" applyFont="1">
      <alignment readingOrder="0"/>
    </xf>
    <xf borderId="1" fillId="0" fontId="7" numFmtId="0" xfId="0" applyBorder="1" applyFont="1"/>
    <xf borderId="1" fillId="0" fontId="7" numFmtId="165" xfId="0" applyBorder="1" applyFont="1" applyNumberFormat="1"/>
    <xf borderId="0" fillId="0" fontId="8" numFmtId="0" xfId="0" applyFont="1"/>
    <xf borderId="0" fillId="0" fontId="3" numFmtId="166" xfId="0" applyFont="1" applyNumberFormat="1"/>
    <xf borderId="0" fillId="0" fontId="9" numFmtId="0" xfId="0" applyFont="1"/>
    <xf borderId="0" fillId="0" fontId="3" numFmtId="165" xfId="0" applyFont="1" applyNumberFormat="1"/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Giudizio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Giudiz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29"/>
    <col customWidth="1" min="2" max="2" width="54.43"/>
    <col customWidth="1" min="3" max="3" width="27.29"/>
    <col customWidth="1" min="4" max="4" width="13.43"/>
    <col customWidth="1" min="5" max="5" width="90.43"/>
    <col customWidth="1" min="6" max="6" width="26.0"/>
    <col customWidth="1" min="7" max="7" width="7.14"/>
    <col customWidth="1" min="8" max="23" width="8.71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1"/>
      <c r="F1" s="1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5" t="s">
        <v>4</v>
      </c>
      <c r="B2" s="5" t="s">
        <v>5</v>
      </c>
      <c r="C2" s="6">
        <v>281000.0</v>
      </c>
      <c r="D2" s="7">
        <f t="shared" ref="D2:D337" si="1">C2*20/1.2</f>
        <v>4683333.333</v>
      </c>
      <c r="E2" s="5" t="str">
        <f t="shared" ref="E2:E337" si="2">CONCATENATE(A2," ",B2)</f>
        <v>MON.SVGA 0,28 14" AOC 4VLR 1024 x 768, MPR II, N.I.,  Energy Star Digital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 t="s">
        <v>6</v>
      </c>
      <c r="B3" s="5" t="s">
        <v>7</v>
      </c>
      <c r="C3" s="6">
        <v>323000.0</v>
      </c>
      <c r="D3" s="7">
        <f t="shared" si="1"/>
        <v>5383333.333</v>
      </c>
      <c r="E3" s="5" t="str">
        <f t="shared" si="2"/>
        <v>MON.SVGA 0,28 15" AOC 5VLR 1280 x 1024, MPR II, N.I., Energy Star Digital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 t="s">
        <v>8</v>
      </c>
      <c r="B4" s="5" t="s">
        <v>9</v>
      </c>
      <c r="C4" s="6">
        <v>344000.0</v>
      </c>
      <c r="D4" s="7">
        <f t="shared" si="1"/>
        <v>5733333.333</v>
      </c>
      <c r="E4" s="5" t="str">
        <f t="shared" si="2"/>
        <v>MON.SVGA 0,28 15" AOC 5NLR OSD 1280 x 1024, MPR II, N.I., Energy Star Digital, 69KHz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 t="s">
        <v>10</v>
      </c>
      <c r="B5" s="5" t="s">
        <v>11</v>
      </c>
      <c r="C5" s="6">
        <v>361000.0</v>
      </c>
      <c r="D5" s="7">
        <f t="shared" si="1"/>
        <v>6016666.667</v>
      </c>
      <c r="E5" s="5" t="str">
        <f t="shared" si="2"/>
        <v>MON.SVGA 0,28 15" AOC 5GLR+ OSD 1280 x 1024, MPR II,TCO'92 N.I., Energy Star Digit 69KHz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 t="s">
        <v>12</v>
      </c>
      <c r="B6" s="5" t="s">
        <v>13</v>
      </c>
      <c r="C6" s="6">
        <v>521000.0</v>
      </c>
      <c r="D6" s="7">
        <f t="shared" si="1"/>
        <v>8683333.333</v>
      </c>
      <c r="E6" s="5" t="str">
        <f t="shared" si="2"/>
        <v>MON. 15" 0.23 CM500ET HITACHI 1152x870, 75 Hz, MPR II,TCO'92, N.I.,Energy Star, P&amp;P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 t="s">
        <v>14</v>
      </c>
      <c r="B7" s="5" t="s">
        <v>15</v>
      </c>
      <c r="C7" s="6">
        <v>527000.0</v>
      </c>
      <c r="D7" s="7">
        <f t="shared" si="1"/>
        <v>8783333.333</v>
      </c>
      <c r="E7" s="5" t="str">
        <f t="shared" si="2"/>
        <v>MON. 15" 0.28 A500 NEC 1280x1024, 60Hz, MPR II, Energy Star, P&amp;P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 t="s">
        <v>16</v>
      </c>
      <c r="B8" s="5" t="s">
        <v>17</v>
      </c>
      <c r="C8" s="6">
        <v>626000.0</v>
      </c>
      <c r="D8" s="7">
        <f t="shared" si="1"/>
        <v>10433333.33</v>
      </c>
      <c r="E8" s="5" t="str">
        <f t="shared" si="2"/>
        <v>MON.SVGA 0,28 17" AOC 7VLR 1280 x 1024, MPR II, N.I., Energy Star Digital  70KHz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 t="s">
        <v>18</v>
      </c>
      <c r="B9" s="5" t="s">
        <v>19</v>
      </c>
      <c r="C9" s="6">
        <v>656000.0</v>
      </c>
      <c r="D9" s="7">
        <f t="shared" si="1"/>
        <v>10933333.33</v>
      </c>
      <c r="E9" s="5" t="str">
        <f t="shared" si="2"/>
        <v>MON. 15" 0.25 E500 NEC, Croma Clear 1280x1024, 65Hz,TCO'95, MPR II, Energy Star, P&amp;P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 t="s">
        <v>20</v>
      </c>
      <c r="B10" s="5" t="s">
        <v>21</v>
      </c>
      <c r="C10" s="6">
        <v>666000.0</v>
      </c>
      <c r="D10" s="7">
        <f t="shared" si="1"/>
        <v>11100000</v>
      </c>
      <c r="E10" s="5" t="str">
        <f t="shared" si="2"/>
        <v>MON.SVGA 0,26 17" AOC 7GLR OSD 1280 x 1024,TCO '92, Energy Star Digital, 85KHz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 t="s">
        <v>22</v>
      </c>
      <c r="B11" s="5" t="s">
        <v>23</v>
      </c>
      <c r="C11" s="6">
        <v>882000.0</v>
      </c>
      <c r="D11" s="7">
        <f t="shared" si="1"/>
        <v>14700000</v>
      </c>
      <c r="E11" s="5" t="str">
        <f t="shared" si="2"/>
        <v>MON. 17" 0.28 A700 NEC 1280x1024, 65Hz, MPR II, Energy Star, P&amp;P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 t="s">
        <v>24</v>
      </c>
      <c r="B12" s="5" t="s">
        <v>25</v>
      </c>
      <c r="C12" s="6">
        <v>1108000.0</v>
      </c>
      <c r="D12" s="7">
        <f t="shared" si="1"/>
        <v>18466666.67</v>
      </c>
      <c r="E12" s="5" t="str">
        <f t="shared" si="2"/>
        <v>MON. 17" 0.21 CM630ET HITACHI 1280x1024,80 Hz,TCO '95 N.I.,Energy Star, P&amp;P 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 t="s">
        <v>26</v>
      </c>
      <c r="B13" s="5" t="s">
        <v>27</v>
      </c>
      <c r="C13" s="6">
        <v>1316000.0</v>
      </c>
      <c r="D13" s="7">
        <f t="shared" si="1"/>
        <v>21933333.33</v>
      </c>
      <c r="E13" s="5" t="str">
        <f t="shared" si="2"/>
        <v>MON. 17" 0.25 P750 NEC, Croma Clear 1600x1280, 75Hz, TCO'92, MPR II, Energy Star, P&amp;P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 t="s">
        <v>28</v>
      </c>
      <c r="B14" s="5" t="s">
        <v>29</v>
      </c>
      <c r="C14" s="6">
        <v>1594000.0</v>
      </c>
      <c r="D14" s="7">
        <f t="shared" si="1"/>
        <v>26566666.67</v>
      </c>
      <c r="E14" s="5" t="str">
        <f t="shared" si="2"/>
        <v>MON. 19" 0.22 CM751ET HITACHI 1600x1200,75 Hz,TCO '95 N.I.,Energy Star, P&amp;P 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 t="s">
        <v>30</v>
      </c>
      <c r="B15" s="5" t="s">
        <v>31</v>
      </c>
      <c r="C15" s="6">
        <v>2719000.0</v>
      </c>
      <c r="D15" s="7">
        <f t="shared" si="1"/>
        <v>45316666.67</v>
      </c>
      <c r="E15" s="5" t="str">
        <f t="shared" si="2"/>
        <v>MON. 21" 0.21 CM802ETM HITACHI 1600x1280,75 Hz,TCO '95 N.I.,Energy Star, P&amp;P 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 t="s">
        <v>32</v>
      </c>
      <c r="B16" s="5"/>
      <c r="C16" s="6"/>
      <c r="D16" s="7">
        <f t="shared" si="1"/>
        <v>0</v>
      </c>
      <c r="E16" s="5" t="str">
        <f t="shared" si="2"/>
        <v>MONITOR  LCD 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 t="s">
        <v>33</v>
      </c>
      <c r="B17" s="5" t="s">
        <v>34</v>
      </c>
      <c r="C17" s="6">
        <v>4092000.0</v>
      </c>
      <c r="D17" s="7">
        <f t="shared" si="1"/>
        <v>68200000</v>
      </c>
      <c r="E17" s="5" t="str">
        <f t="shared" si="2"/>
        <v>MON. 14" LCD 0.28 LCD400V NEC 1024x768 75Hz, TFT, Energy Star, P&amp;P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 t="s">
        <v>35</v>
      </c>
      <c r="B18" s="5" t="s">
        <v>36</v>
      </c>
      <c r="C18" s="6">
        <v>1.3859E7</v>
      </c>
      <c r="D18" s="7">
        <f t="shared" si="1"/>
        <v>230983333.3</v>
      </c>
      <c r="E18" s="5" t="str">
        <f t="shared" si="2"/>
        <v>MON. 20" LCD 0.31 LCD2000sf NEC 1280X1024 75Hz, TFT, Energy Star, P&amp;P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 t="s">
        <v>37</v>
      </c>
      <c r="B19" s="5"/>
      <c r="C19" s="6"/>
      <c r="D19" s="7">
        <f t="shared" si="1"/>
        <v>0</v>
      </c>
      <c r="E19" s="5" t="str">
        <f t="shared" si="2"/>
        <v>SCHEDE MADRI 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 t="s">
        <v>38</v>
      </c>
      <c r="B20" s="5" t="s">
        <v>39</v>
      </c>
      <c r="C20" s="6">
        <v>167000.0</v>
      </c>
      <c r="D20" s="7">
        <f t="shared" si="1"/>
        <v>2783333.333</v>
      </c>
      <c r="E20" s="5" t="str">
        <f t="shared" si="2"/>
        <v>M/B ASUS SP97-V SVGA SHARE MEMORY PCI/ISA/Media Bus. SIS 5598 Share Memory, 4XPCI, 3XISA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 t="s">
        <v>40</v>
      </c>
      <c r="B21" s="5" t="s">
        <v>41</v>
      </c>
      <c r="C21" s="6">
        <v>202000.0</v>
      </c>
      <c r="D21" s="7">
        <f t="shared" si="1"/>
        <v>3366666.667</v>
      </c>
      <c r="E21" s="5" t="str">
        <f t="shared" si="2"/>
        <v>M/B ASUS TXP4 PCI/ISA/Media Bus.TX/ 2 x 168 Pin DIMM, 4 x 72 Pin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 t="s">
        <v>42</v>
      </c>
      <c r="B22" s="5" t="s">
        <v>43</v>
      </c>
      <c r="C22" s="6">
        <v>203000.0</v>
      </c>
      <c r="D22" s="7">
        <f t="shared" si="1"/>
        <v>3383333.333</v>
      </c>
      <c r="E22" s="5" t="str">
        <f t="shared" si="2"/>
        <v>M/B ASUS SP98AGP-X ATX PCI/ISA/Media Bus. SIS 5591 Share Memory, 3XPCI, 3XISA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 t="s">
        <v>44</v>
      </c>
      <c r="B23" s="5" t="s">
        <v>41</v>
      </c>
      <c r="C23" s="6">
        <v>234000.0</v>
      </c>
      <c r="D23" s="7">
        <f t="shared" si="1"/>
        <v>3900000</v>
      </c>
      <c r="E23" s="5" t="str">
        <f t="shared" si="2"/>
        <v>M/B ASUS TX-97 - E  PCI/ISA/Media Bus.TX/ 2 x 168 Pin DIMM, 4 x 72 Pin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 t="s">
        <v>45</v>
      </c>
      <c r="B24" s="5" t="s">
        <v>46</v>
      </c>
      <c r="C24" s="6">
        <v>252000.0</v>
      </c>
      <c r="D24" s="7">
        <f t="shared" si="1"/>
        <v>4200000</v>
      </c>
      <c r="E24" s="5" t="str">
        <f t="shared" si="2"/>
        <v>M/B ASUS TX-97  PCI/ISA/Media Bus.TX/ 3 x 168 Pin DIMM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 t="s">
        <v>47</v>
      </c>
      <c r="B25" s="5" t="s">
        <v>41</v>
      </c>
      <c r="C25" s="6">
        <v>259000.0</v>
      </c>
      <c r="D25" s="7">
        <f t="shared" si="1"/>
        <v>4316666.667</v>
      </c>
      <c r="E25" s="5" t="str">
        <f t="shared" si="2"/>
        <v>M/B ASUS TX-97 - XE ATX NO AUDIO PCI/ISA/Media Bus.TX/ 2 x 168 Pin DIMM, 4 x 72 Pin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 t="s">
        <v>48</v>
      </c>
      <c r="B26" s="5" t="s">
        <v>49</v>
      </c>
      <c r="C26" s="6">
        <v>269000.0</v>
      </c>
      <c r="D26" s="7">
        <f t="shared" si="1"/>
        <v>4483333.333</v>
      </c>
      <c r="E26" s="5" t="str">
        <f t="shared" si="2"/>
        <v>M/B ASUS P2L97-B PCI/ISA/Intel 440LX/233-333 Mhz AT BABY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 t="s">
        <v>50</v>
      </c>
      <c r="B27" s="5" t="s">
        <v>51</v>
      </c>
      <c r="C27" s="6">
        <v>271000.0</v>
      </c>
      <c r="D27" s="7">
        <f t="shared" si="1"/>
        <v>4516666.667</v>
      </c>
      <c r="E27" s="5" t="str">
        <f t="shared" si="2"/>
        <v>M/B ASUS  P55T2P4 430HX 512K P5 PCI/ISA/Media Bus.Triton II/ZIF7/75-200 MHz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 t="s">
        <v>52</v>
      </c>
      <c r="B28" s="5" t="s">
        <v>53</v>
      </c>
      <c r="C28" s="6">
        <v>292000.0</v>
      </c>
      <c r="D28" s="7">
        <f t="shared" si="1"/>
        <v>4866666.667</v>
      </c>
      <c r="E28" s="5" t="str">
        <f t="shared" si="2"/>
        <v>M/B ASUS P2L97 ATX PCI/ISA/Intel 440LX/233-333 Mhz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 t="s">
        <v>54</v>
      </c>
      <c r="B29" s="5" t="s">
        <v>55</v>
      </c>
      <c r="C29" s="6">
        <v>293000.0</v>
      </c>
      <c r="D29" s="7">
        <f t="shared" si="1"/>
        <v>4883333.333</v>
      </c>
      <c r="E29" s="5" t="str">
        <f t="shared" si="2"/>
        <v>M/B ASUS XP55T2P4 512K ATX P5 PCI/ISA/Media Bus.Triton II/ZIF7/ 75-200 MHz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 t="s">
        <v>56</v>
      </c>
      <c r="B30" s="5" t="s">
        <v>41</v>
      </c>
      <c r="C30" s="6">
        <v>307000.0</v>
      </c>
      <c r="D30" s="7">
        <f t="shared" si="1"/>
        <v>5116666.667</v>
      </c>
      <c r="E30" s="5" t="str">
        <f t="shared" si="2"/>
        <v>M/B ASUS TX-97 -XE ATX -CREATIVE VIBRA16 PCI/ISA/Media Bus.TX/ 2 x 168 Pin DIMM, 4 x 72 Pin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 t="s">
        <v>57</v>
      </c>
      <c r="B31" s="5" t="s">
        <v>58</v>
      </c>
      <c r="C31" s="6">
        <v>440000.0</v>
      </c>
      <c r="D31" s="7">
        <f t="shared" si="1"/>
        <v>7333333.333</v>
      </c>
      <c r="E31" s="5" t="str">
        <f t="shared" si="2"/>
        <v>M/B ASUS P2L97-A ATX+VGA AGP 4MB PCI/ISA/Intel 440LX/233-333 Mhz ATI 3D Rage Pro AGP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 t="s">
        <v>59</v>
      </c>
      <c r="B32" s="5" t="s">
        <v>60</v>
      </c>
      <c r="C32" s="6">
        <v>487000.0</v>
      </c>
      <c r="D32" s="7">
        <f t="shared" si="1"/>
        <v>8116666.667</v>
      </c>
      <c r="E32" s="5" t="str">
        <f t="shared" si="2"/>
        <v>M/B ASUS P2L97-S ADAPTEC ATX PCI/ISA/Intel 440LX/233-333 Mhz/Adaptec 7880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 t="s">
        <v>61</v>
      </c>
      <c r="B33" s="5" t="s">
        <v>62</v>
      </c>
      <c r="C33" s="6">
        <v>566000.0</v>
      </c>
      <c r="D33" s="7">
        <f t="shared" si="1"/>
        <v>9433333.333</v>
      </c>
      <c r="E33" s="5" t="str">
        <f t="shared" si="2"/>
        <v>M/B ASUS P65UP5+P55T2D 512K DUAL P5 PCI/ISA/Media Bus/Intel 430HX/75-200 Mhz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 t="s">
        <v>63</v>
      </c>
      <c r="B34" s="5" t="s">
        <v>60</v>
      </c>
      <c r="C34" s="6">
        <v>802000.0</v>
      </c>
      <c r="D34" s="7">
        <f t="shared" si="1"/>
        <v>13366666.67</v>
      </c>
      <c r="E34" s="5" t="str">
        <f t="shared" si="2"/>
        <v>M/B ASUS P2L97-DS DUAL P II PCI/ISA/Intel 440LX/233-333 Mhz/Adaptec 7880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 t="s">
        <v>64</v>
      </c>
      <c r="B35" s="5" t="s">
        <v>65</v>
      </c>
      <c r="C35" s="6">
        <v>1579000.0</v>
      </c>
      <c r="D35" s="7">
        <f t="shared" si="1"/>
        <v>26316666.67</v>
      </c>
      <c r="E35" s="5" t="str">
        <f t="shared" si="2"/>
        <v>M/B ASUS P65UP8+PKND DUAL PII Intel 440FX CPU INTEL RISC i960, SCSI I20 RAID, EXP 1GB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 t="s">
        <v>66</v>
      </c>
      <c r="B36" s="5"/>
      <c r="C36" s="6"/>
      <c r="D36" s="7">
        <f t="shared" si="1"/>
        <v>0</v>
      </c>
      <c r="E36" s="5" t="str">
        <f t="shared" si="2"/>
        <v>SCHEDE VIDEO 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 t="s">
        <v>67</v>
      </c>
      <c r="B37" s="5" t="s">
        <v>68</v>
      </c>
      <c r="C37" s="6">
        <v>70000.0</v>
      </c>
      <c r="D37" s="7">
        <f t="shared" si="1"/>
        <v>1166666.667</v>
      </c>
      <c r="E37" s="5" t="str">
        <f t="shared" si="2"/>
        <v>SVGA S3 3D PRO VIRGE 2MB S3 PRO VIRGE DX 2MB Edo exp. 4MB 3D Acc.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 t="s">
        <v>69</v>
      </c>
      <c r="B38" s="5" t="s">
        <v>70</v>
      </c>
      <c r="C38" s="6">
        <v>104000.0</v>
      </c>
      <c r="D38" s="7">
        <f t="shared" si="1"/>
        <v>1733333.333</v>
      </c>
      <c r="E38" s="5" t="str">
        <f t="shared" si="2"/>
        <v>CREATIVE ECLIPSE 4MB ACC. 2D/3D 4MB LAGUNA 3D max 1600x1200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 t="s">
        <v>71</v>
      </c>
      <c r="B39" s="5" t="s">
        <v>72</v>
      </c>
      <c r="C39" s="6">
        <v>127000.0</v>
      </c>
      <c r="D39" s="7">
        <f t="shared" si="1"/>
        <v>2116666.667</v>
      </c>
      <c r="E39" s="5" t="str">
        <f t="shared" si="2"/>
        <v>ADD-ON MATROX m3D 4MB MATROX - NEC Power VR PCX2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 t="s">
        <v>73</v>
      </c>
      <c r="B40" s="5" t="s">
        <v>74</v>
      </c>
      <c r="C40" s="6">
        <v>162000.0</v>
      </c>
      <c r="D40" s="7">
        <f t="shared" si="1"/>
        <v>2700000</v>
      </c>
      <c r="E40" s="5" t="str">
        <f t="shared" si="2"/>
        <v>ASUS 3DP-V264GT2 4MB TV-OUT ATI Rage II+ , 2D/3D, DVD Acc.,TV OUT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 t="s">
        <v>75</v>
      </c>
      <c r="B41" s="5" t="s">
        <v>76</v>
      </c>
      <c r="C41" s="6">
        <v>179000.0</v>
      </c>
      <c r="D41" s="7">
        <f t="shared" si="1"/>
        <v>2983333.333</v>
      </c>
      <c r="E41" s="5" t="str">
        <f t="shared" si="2"/>
        <v>SVGA MYSTIQUE 220 "BULK" 4MB MATROX,MGA 1064SG SGRAM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 t="s">
        <v>77</v>
      </c>
      <c r="B42" s="5" t="s">
        <v>78</v>
      </c>
      <c r="C42" s="6">
        <v>186000.0</v>
      </c>
      <c r="D42" s="7">
        <f t="shared" si="1"/>
        <v>3100000</v>
      </c>
      <c r="E42" s="5" t="str">
        <f t="shared" si="2"/>
        <v>ASUS 3DP-V385GX2 4MB TV-OUT  S3 VIRGE/GX2,2D/3D DVD Acc. VIDEO-IN&amp;TV OUT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 t="s">
        <v>79</v>
      </c>
      <c r="B43" s="5" t="s">
        <v>78</v>
      </c>
      <c r="C43" s="6">
        <v>186000.0</v>
      </c>
      <c r="D43" s="7">
        <f t="shared" si="1"/>
        <v>3100000</v>
      </c>
      <c r="E43" s="5" t="str">
        <f t="shared" si="2"/>
        <v>ASUS V385GX2 AGP 4MB TV-OUT S3 VIRGE/GX2,2D/3D DVD Acc. VIDEO-IN&amp;TV OUT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 t="s">
        <v>80</v>
      </c>
      <c r="B44" s="5" t="s">
        <v>81</v>
      </c>
      <c r="C44" s="6">
        <v>203000.0</v>
      </c>
      <c r="D44" s="7">
        <f t="shared" si="1"/>
        <v>3383333.333</v>
      </c>
      <c r="E44" s="5" t="str">
        <f t="shared" si="2"/>
        <v>CREATIVE GRAPHIC EXXTREME 4MB ACC. 2D/3D 4MB SGRAM T.I.9735AC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 t="s">
        <v>82</v>
      </c>
      <c r="B45" s="5" t="s">
        <v>76</v>
      </c>
      <c r="C45" s="6">
        <v>212000.0</v>
      </c>
      <c r="D45" s="7">
        <f t="shared" si="1"/>
        <v>3533333.333</v>
      </c>
      <c r="E45" s="5" t="str">
        <f t="shared" si="2"/>
        <v>SVGA MYSTIQUE 220  4MB MATROX,MGA 1064SG SGRAM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 t="s">
        <v>83</v>
      </c>
      <c r="B46" s="5" t="s">
        <v>84</v>
      </c>
      <c r="C46" s="6">
        <v>222000.0</v>
      </c>
      <c r="D46" s="7">
        <f t="shared" si="1"/>
        <v>3700000</v>
      </c>
      <c r="E46" s="5" t="str">
        <f t="shared" si="2"/>
        <v>SVGA ACC. 3D/FX VOODO RUSH 4MB ACC.2D/3D 3D/FX Voodo Rush+AT25 Game+Giochi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 t="s">
        <v>85</v>
      </c>
      <c r="B47" s="5" t="s">
        <v>86</v>
      </c>
      <c r="C47" s="6">
        <v>245000.0</v>
      </c>
      <c r="D47" s="7">
        <f t="shared" si="1"/>
        <v>4083333.333</v>
      </c>
      <c r="E47" s="5" t="str">
        <f t="shared" si="2"/>
        <v>SVGA ACC. 3D/FX VOODO RUSH 6MB ACC.2D/3D 3D/FX Voodoo Rush+AT25 Game+Giochi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 t="s">
        <v>87</v>
      </c>
      <c r="B48" s="5" t="s">
        <v>88</v>
      </c>
      <c r="C48" s="6">
        <v>251000.0</v>
      </c>
      <c r="D48" s="7">
        <f t="shared" si="1"/>
        <v>4183333.333</v>
      </c>
      <c r="E48" s="5" t="str">
        <f t="shared" si="2"/>
        <v>RAINBOW R. TV MATROX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 t="s">
        <v>89</v>
      </c>
      <c r="B49" s="5" t="s">
        <v>90</v>
      </c>
      <c r="C49" s="6">
        <v>257000.0</v>
      </c>
      <c r="D49" s="7">
        <f t="shared" si="1"/>
        <v>4283333.333</v>
      </c>
      <c r="E49" s="5" t="str">
        <f t="shared" si="2"/>
        <v>ASUS 3D EXPLORER AGP 4MB TV-OUT ASUS, 2D/3D, 4MB SGRAM SGS T. RIVA128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 t="s">
        <v>91</v>
      </c>
      <c r="B50" s="5" t="s">
        <v>90</v>
      </c>
      <c r="C50" s="6">
        <v>269000.0</v>
      </c>
      <c r="D50" s="7">
        <f t="shared" si="1"/>
        <v>4483333.333</v>
      </c>
      <c r="E50" s="5" t="str">
        <f t="shared" si="2"/>
        <v>ASUS 3D EXPLORER PCI 4MB TV-OUT ASUS, 2D/3D, 4MB SGRAM SGS T. RIVA128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 t="s">
        <v>92</v>
      </c>
      <c r="B51" s="5" t="s">
        <v>93</v>
      </c>
      <c r="C51" s="6">
        <v>314000.0</v>
      </c>
      <c r="D51" s="7">
        <f t="shared" si="1"/>
        <v>5233333.333</v>
      </c>
      <c r="E51" s="5" t="str">
        <f t="shared" si="2"/>
        <v>SVGA MILLENNIUM II 4MB "BULK" MATROX,MGA MILLENNIUM II WRAM 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 t="s">
        <v>94</v>
      </c>
      <c r="B52" s="5" t="s">
        <v>95</v>
      </c>
      <c r="C52" s="6">
        <v>325000.0</v>
      </c>
      <c r="D52" s="7">
        <f t="shared" si="1"/>
        <v>5416666.667</v>
      </c>
      <c r="E52" s="5" t="str">
        <f t="shared" si="2"/>
        <v>SVGA MILLENNIUM II 4MB AGP MATROX,MGA MILLENNIUM II WRAM  AGP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 t="s">
        <v>96</v>
      </c>
      <c r="B53" s="5" t="s">
        <v>97</v>
      </c>
      <c r="C53" s="6">
        <v>347000.0</v>
      </c>
      <c r="D53" s="7">
        <f t="shared" si="1"/>
        <v>5783333.333</v>
      </c>
      <c r="E53" s="5" t="str">
        <f t="shared" si="2"/>
        <v>RAINBOW R. STUDIO per MATROX MYSTIQUE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 t="s">
        <v>98</v>
      </c>
      <c r="B54" s="5" t="s">
        <v>93</v>
      </c>
      <c r="C54" s="6">
        <v>369000.0</v>
      </c>
      <c r="D54" s="7">
        <f t="shared" si="1"/>
        <v>6150000</v>
      </c>
      <c r="E54" s="5" t="str">
        <f t="shared" si="2"/>
        <v>SVGA MILLENNIUM II 4MB MATROX,MGA MILLENNIUM II WRAM 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 t="s">
        <v>99</v>
      </c>
      <c r="B55" s="5" t="s">
        <v>100</v>
      </c>
      <c r="C55" s="6">
        <v>402000.0</v>
      </c>
      <c r="D55" s="7">
        <f t="shared" si="1"/>
        <v>6700000</v>
      </c>
      <c r="E55" s="5" t="str">
        <f t="shared" si="2"/>
        <v>CREATIVE VOODO-2 8MB Add-on ACC.3D Voodo 3Dfx + Pixelfx PQFP 256pin+Texelfx PQFP208pin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 t="s">
        <v>101</v>
      </c>
      <c r="B56" s="5" t="s">
        <v>93</v>
      </c>
      <c r="C56" s="6">
        <v>471000.0</v>
      </c>
      <c r="D56" s="7">
        <f t="shared" si="1"/>
        <v>7850000</v>
      </c>
      <c r="E56" s="5" t="str">
        <f t="shared" si="2"/>
        <v>SVGA MILLENNIUM II 8MB "BULK" MATROX,MGA MILLENNIUM II WRAM 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 t="s">
        <v>102</v>
      </c>
      <c r="B57" s="5" t="s">
        <v>95</v>
      </c>
      <c r="C57" s="6">
        <v>476000.0</v>
      </c>
      <c r="D57" s="7">
        <f t="shared" si="1"/>
        <v>7933333.333</v>
      </c>
      <c r="E57" s="5" t="str">
        <f t="shared" si="2"/>
        <v>SVGA MILLENNIUM II 8MB AGP MATROX,MGA MILLENNIUM II WRAM  AGP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 t="s">
        <v>103</v>
      </c>
      <c r="B58" s="5" t="s">
        <v>100</v>
      </c>
      <c r="C58" s="6">
        <v>492000.0</v>
      </c>
      <c r="D58" s="7">
        <f t="shared" si="1"/>
        <v>8200000</v>
      </c>
      <c r="E58" s="5" t="str">
        <f t="shared" si="2"/>
        <v>CREATIVE VOODO-2 12MB Add-on ACC.3D Voodo 3Dfx + Pixelfx PQFP 256pin+Texelfx PQFP208pin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 t="s">
        <v>104</v>
      </c>
      <c r="B59" s="5" t="s">
        <v>105</v>
      </c>
      <c r="C59" s="6">
        <v>531000.0</v>
      </c>
      <c r="D59" s="7">
        <f t="shared" si="1"/>
        <v>8850000</v>
      </c>
      <c r="E59" s="5" t="str">
        <f t="shared" si="2"/>
        <v>VIDEO &amp; GRAPHIC KIT MATROX MISTIQUE 4MB+ RAINBOW RUNNER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 t="s">
        <v>106</v>
      </c>
      <c r="B60" s="5" t="s">
        <v>93</v>
      </c>
      <c r="C60" s="6">
        <v>552000.0</v>
      </c>
      <c r="D60" s="7">
        <f t="shared" si="1"/>
        <v>9200000</v>
      </c>
      <c r="E60" s="5" t="str">
        <f t="shared" si="2"/>
        <v>SVGA MILLENNIUM II 8MB MATROX,MGA MILLENNIUM II WRAM 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 t="s">
        <v>107</v>
      </c>
      <c r="B61" s="5" t="s">
        <v>108</v>
      </c>
      <c r="C61" s="6">
        <v>1487000.0</v>
      </c>
      <c r="D61" s="7">
        <f t="shared" si="1"/>
        <v>24783333.33</v>
      </c>
      <c r="E61" s="5" t="str">
        <f t="shared" si="2"/>
        <v>ASUS 3DP- V500TX 16MB Work.Prof.3d 3D LABS GLINT500TX,8MB VRAM Frame Buffer,8MB DRAM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 t="s">
        <v>109</v>
      </c>
      <c r="B62" s="5"/>
      <c r="C62" s="6"/>
      <c r="D62" s="7">
        <f t="shared" si="1"/>
        <v>0</v>
      </c>
      <c r="E62" s="5" t="str">
        <f t="shared" si="2"/>
        <v>SCHEDE I/O 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 t="s">
        <v>110</v>
      </c>
      <c r="B63" s="5" t="s">
        <v>111</v>
      </c>
      <c r="C63" s="6">
        <v>101000.0</v>
      </c>
      <c r="D63" s="7">
        <f t="shared" si="1"/>
        <v>1683333.333</v>
      </c>
      <c r="E63" s="5" t="str">
        <f t="shared" si="2"/>
        <v>Contr. PCI SCSI Fast SCSI-2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 t="s">
        <v>112</v>
      </c>
      <c r="B64" s="5" t="s">
        <v>113</v>
      </c>
      <c r="C64" s="6">
        <v>38000.0</v>
      </c>
      <c r="D64" s="7">
        <f t="shared" si="1"/>
        <v>633333.3333</v>
      </c>
      <c r="E64" s="5" t="str">
        <f t="shared" si="2"/>
        <v>Contr. PCI EIDE Tekram 690B, 4 canali EIDE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 t="s">
        <v>114</v>
      </c>
      <c r="B65" s="5" t="s">
        <v>115</v>
      </c>
      <c r="C65" s="6">
        <v>137000.0</v>
      </c>
      <c r="D65" s="7">
        <f t="shared" si="1"/>
        <v>2283333.333</v>
      </c>
      <c r="E65" s="5" t="str">
        <f t="shared" si="2"/>
        <v>Contr. PCI SC200 SCSI-2 ASUS NCR-53C810 Ultra Fast, SCSI-2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 t="s">
        <v>116</v>
      </c>
      <c r="B66" s="5" t="s">
        <v>117</v>
      </c>
      <c r="C66" s="6">
        <v>222000.0</v>
      </c>
      <c r="D66" s="7">
        <f t="shared" si="1"/>
        <v>3700000</v>
      </c>
      <c r="E66" s="5" t="str">
        <f t="shared" si="2"/>
        <v>Contr. PCI SC875 Wide SCSI, SCSI-2 ASUS NCR-53C875 Ultra Fast, Wide SCSI e SCSI-2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 t="s">
        <v>118</v>
      </c>
      <c r="B67" s="5" t="s">
        <v>119</v>
      </c>
      <c r="C67" s="6">
        <v>501000.0</v>
      </c>
      <c r="D67" s="7">
        <f t="shared" si="1"/>
        <v>8350000</v>
      </c>
      <c r="E67" s="5" t="str">
        <f t="shared" si="2"/>
        <v>Contr. PCI AHA 2940AU SCSI-2 Adaptec 2940 Ultra Fast, SCSI-2, sw EZ SCSI 4.0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 t="s">
        <v>120</v>
      </c>
      <c r="B68" s="5" t="s">
        <v>121</v>
      </c>
      <c r="C68" s="6">
        <v>428000.0</v>
      </c>
      <c r="D68" s="7">
        <f t="shared" si="1"/>
        <v>7133333.333</v>
      </c>
      <c r="E68" s="5" t="str">
        <f t="shared" si="2"/>
        <v>Contr. PCI AHA 2940UW Wide SCSI OEM Adaptec 2940 Ultra Fast, Wide SCSI e SCSI-2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 t="s">
        <v>122</v>
      </c>
      <c r="B69" s="5" t="s">
        <v>123</v>
      </c>
      <c r="C69" s="6">
        <v>561000.0</v>
      </c>
      <c r="D69" s="7">
        <f t="shared" si="1"/>
        <v>9350000</v>
      </c>
      <c r="E69" s="5" t="str">
        <f t="shared" si="2"/>
        <v>Contr. PCI AHA 2940UW Wide SCSI Adaptec 2940 Ultra Fast, Wide SCSI e SCSI-2, sw EZ SCSI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 t="s">
        <v>124</v>
      </c>
      <c r="B70" s="5" t="s">
        <v>125</v>
      </c>
      <c r="C70" s="6">
        <v>1578000.0</v>
      </c>
      <c r="D70" s="7">
        <f t="shared" si="1"/>
        <v>26300000</v>
      </c>
      <c r="E70" s="5" t="str">
        <f t="shared" si="2"/>
        <v>Contr.PCI DA2100 Dual Wide SCSI ASUS Infotrend-500127 dual Ultra Fast, Wide SCSI, RAID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 t="s">
        <v>126</v>
      </c>
      <c r="B71" s="5" t="s">
        <v>127</v>
      </c>
      <c r="C71" s="6">
        <v>34000.0</v>
      </c>
      <c r="D71" s="7">
        <f t="shared" si="1"/>
        <v>566666.6667</v>
      </c>
      <c r="E71" s="5" t="str">
        <f t="shared" si="2"/>
        <v>Scheda 2 porte seriali, 1 porta parallela 16550 Fast UART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 t="s">
        <v>128</v>
      </c>
      <c r="B72" s="5" t="s">
        <v>129</v>
      </c>
      <c r="C72" s="6">
        <v>20000.0</v>
      </c>
      <c r="D72" s="7">
        <f t="shared" si="1"/>
        <v>333333.3333</v>
      </c>
      <c r="E72" s="5" t="str">
        <f t="shared" si="2"/>
        <v>Scheda singola seriale  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 t="s">
        <v>130</v>
      </c>
      <c r="B73" s="5" t="s">
        <v>129</v>
      </c>
      <c r="C73" s="6">
        <v>23000.0</v>
      </c>
      <c r="D73" s="7">
        <f t="shared" si="1"/>
        <v>383333.3333</v>
      </c>
      <c r="E73" s="5" t="str">
        <f t="shared" si="2"/>
        <v>Scheda doppia seriale  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 t="s">
        <v>131</v>
      </c>
      <c r="B74" s="5"/>
      <c r="C74" s="6">
        <v>98000.0</v>
      </c>
      <c r="D74" s="7">
        <f t="shared" si="1"/>
        <v>1633333.333</v>
      </c>
      <c r="E74" s="5" t="str">
        <f t="shared" si="2"/>
        <v>Scheda 4 porte seriali 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 t="s">
        <v>132</v>
      </c>
      <c r="B75" s="5"/>
      <c r="C75" s="6">
        <v>251000.0</v>
      </c>
      <c r="D75" s="7">
        <f t="shared" si="1"/>
        <v>4183333.333</v>
      </c>
      <c r="E75" s="5" t="str">
        <f t="shared" si="2"/>
        <v>Scheda 8 porte seriali 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 t="s">
        <v>133</v>
      </c>
      <c r="B76" s="5"/>
      <c r="C76" s="6">
        <v>15000.0</v>
      </c>
      <c r="D76" s="7">
        <f t="shared" si="1"/>
        <v>250000</v>
      </c>
      <c r="E76" s="5" t="str">
        <f t="shared" si="2"/>
        <v>Scheda singola parallela 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 t="s">
        <v>134</v>
      </c>
      <c r="B77" s="5"/>
      <c r="C77" s="6">
        <v>14000.0</v>
      </c>
      <c r="D77" s="7">
        <f t="shared" si="1"/>
        <v>233333.3333</v>
      </c>
      <c r="E77" s="5" t="str">
        <f t="shared" si="2"/>
        <v>Scheda 2 porte joystick 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 t="s">
        <v>135</v>
      </c>
      <c r="B78" s="5"/>
      <c r="C78" s="6"/>
      <c r="D78" s="7">
        <f t="shared" si="1"/>
        <v>0</v>
      </c>
      <c r="E78" s="5" t="str">
        <f t="shared" si="2"/>
        <v>HARD DISK 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 t="s">
        <v>136</v>
      </c>
      <c r="B79" s="5" t="s">
        <v>137</v>
      </c>
      <c r="C79" s="6">
        <v>399000.0</v>
      </c>
      <c r="D79" s="7">
        <f t="shared" si="1"/>
        <v>6650000</v>
      </c>
      <c r="E79" s="5" t="str">
        <f t="shared" si="2"/>
        <v>HARD DISK 2.5"  2,1GB U.Dma 2,5" 12mm HITACHI - DK226A-21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 t="s">
        <v>138</v>
      </c>
      <c r="B80" s="5" t="s">
        <v>139</v>
      </c>
      <c r="C80" s="6">
        <v>259000.0</v>
      </c>
      <c r="D80" s="7">
        <f t="shared" si="1"/>
        <v>4316666.667</v>
      </c>
      <c r="E80" s="5" t="str">
        <f t="shared" si="2"/>
        <v>HD 2,1 GB Ultra DMA 5400rpm 3,5" ULTRA DMA FUJITSU 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 t="s">
        <v>140</v>
      </c>
      <c r="B81" s="5" t="s">
        <v>139</v>
      </c>
      <c r="C81" s="6">
        <v>324000.0</v>
      </c>
      <c r="D81" s="7">
        <f t="shared" si="1"/>
        <v>5400000</v>
      </c>
      <c r="E81" s="5" t="str">
        <f t="shared" si="2"/>
        <v>HD 3,2 GB Ultra DMA 5400rpm 3,5" ULTRA DMA FUJITSU 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 t="s">
        <v>141</v>
      </c>
      <c r="B82" s="5" t="s">
        <v>139</v>
      </c>
      <c r="C82" s="6">
        <v>378000.0</v>
      </c>
      <c r="D82" s="7">
        <f t="shared" si="1"/>
        <v>6300000</v>
      </c>
      <c r="E82" s="5" t="str">
        <f t="shared" si="2"/>
        <v>HD 4,3 GB Ultra DMA 5400rpm 3,5" ULTRA DMA FUJITSU 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 t="s">
        <v>142</v>
      </c>
      <c r="B83" s="5" t="s">
        <v>139</v>
      </c>
      <c r="C83" s="6">
        <v>469000.0</v>
      </c>
      <c r="D83" s="7">
        <f t="shared" si="1"/>
        <v>7816666.667</v>
      </c>
      <c r="E83" s="5" t="str">
        <f t="shared" si="2"/>
        <v>HD 5,2 GB Ultra DMA 5400rpm 3,5" ULTRA DMA FUJITSU 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 t="s">
        <v>143</v>
      </c>
      <c r="B84" s="5" t="s">
        <v>139</v>
      </c>
      <c r="C84" s="6">
        <v>556000.0</v>
      </c>
      <c r="D84" s="7">
        <f t="shared" si="1"/>
        <v>9266666.667</v>
      </c>
      <c r="E84" s="5" t="str">
        <f t="shared" si="2"/>
        <v>HD 6,4 GB Ultra DMA 5400rpm 3,5" ULTRA DMA FUJITSU 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 t="s">
        <v>144</v>
      </c>
      <c r="B85" s="5" t="s">
        <v>145</v>
      </c>
      <c r="C85" s="6">
        <v>476000.0</v>
      </c>
      <c r="D85" s="7">
        <f t="shared" si="1"/>
        <v>7933333.333</v>
      </c>
      <c r="E85" s="5" t="str">
        <f t="shared" si="2"/>
        <v>HD 2 GB SCSI III 5400 rpm 3,5" SCSI QUANTUM FIREBALL ST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 t="s">
        <v>146</v>
      </c>
      <c r="B86" s="5" t="s">
        <v>145</v>
      </c>
      <c r="C86" s="6">
        <v>477000.0</v>
      </c>
      <c r="D86" s="7">
        <f t="shared" si="1"/>
        <v>7950000</v>
      </c>
      <c r="E86" s="5" t="str">
        <f t="shared" si="2"/>
        <v>HD 3,2 GB SCSI III 5400rpm 3,5" SCSI QUANTUM FIREBALL ST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 t="s">
        <v>147</v>
      </c>
      <c r="B87" s="5" t="s">
        <v>145</v>
      </c>
      <c r="C87" s="6">
        <v>556000.0</v>
      </c>
      <c r="D87" s="7">
        <f t="shared" si="1"/>
        <v>9266666.667</v>
      </c>
      <c r="E87" s="5" t="str">
        <f t="shared" si="2"/>
        <v>HD 4,3 GB SCSI 5400 rpm 3,5" SCSI QUANTUM FIREBALL ST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 t="s">
        <v>148</v>
      </c>
      <c r="B88" s="5" t="s">
        <v>149</v>
      </c>
      <c r="C88" s="6">
        <v>695000.0</v>
      </c>
      <c r="D88" s="7">
        <f t="shared" si="1"/>
        <v>11583333.33</v>
      </c>
      <c r="E88" s="5" t="str">
        <f t="shared" si="2"/>
        <v>HD 4,5 GB SCSI ULTRA WIDE 7200rpm 3,5" SCSI III, QUANTUM VIKING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 t="s">
        <v>150</v>
      </c>
      <c r="B89" s="5" t="s">
        <v>151</v>
      </c>
      <c r="C89" s="6">
        <v>1279000.0</v>
      </c>
      <c r="D89" s="7">
        <f t="shared" si="1"/>
        <v>21316666.67</v>
      </c>
      <c r="E89" s="5" t="str">
        <f t="shared" si="2"/>
        <v>HD 4,5 GB SCSI ULTRA WIDE 10.000rpm 3,5" SCSI U.W. SEAGATE CHEETAH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 t="s">
        <v>152</v>
      </c>
      <c r="B90" s="5" t="s">
        <v>153</v>
      </c>
      <c r="C90" s="6">
        <v>35000.0</v>
      </c>
      <c r="D90" s="7">
        <f t="shared" si="1"/>
        <v>583333.3333</v>
      </c>
      <c r="E90" s="5" t="str">
        <f t="shared" si="2"/>
        <v>FDD 1,44MB PANASONIC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 t="s">
        <v>154</v>
      </c>
      <c r="B91" s="5" t="s">
        <v>155</v>
      </c>
      <c r="C91" s="6">
        <v>175000.0</v>
      </c>
      <c r="D91" s="7">
        <f t="shared" si="1"/>
        <v>2916666.667</v>
      </c>
      <c r="E91" s="5" t="str">
        <f t="shared" si="2"/>
        <v>FLOPPY DRIVE 120MB PANASONIC LS-120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 t="s">
        <v>156</v>
      </c>
      <c r="B92" s="5" t="s">
        <v>157</v>
      </c>
      <c r="C92" s="6">
        <v>272000.0</v>
      </c>
      <c r="D92" s="7">
        <f t="shared" si="1"/>
        <v>4533333.333</v>
      </c>
      <c r="E92" s="5" t="str">
        <f t="shared" si="2"/>
        <v>ZIP DRIVE 100MB PARALL. IOMEGA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 t="s">
        <v>158</v>
      </c>
      <c r="B93" s="5" t="s">
        <v>157</v>
      </c>
      <c r="C93" s="6">
        <v>198000.0</v>
      </c>
      <c r="D93" s="7">
        <f t="shared" si="1"/>
        <v>3300000</v>
      </c>
      <c r="E93" s="5" t="str">
        <f t="shared" si="2"/>
        <v>ZIP ATAPI 100MB INTERNO IOMEGA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 t="s">
        <v>159</v>
      </c>
      <c r="B94" s="5" t="s">
        <v>157</v>
      </c>
      <c r="C94" s="6">
        <v>290000.0</v>
      </c>
      <c r="D94" s="7">
        <f t="shared" si="1"/>
        <v>4833333.333</v>
      </c>
      <c r="E94" s="5" t="str">
        <f t="shared" si="2"/>
        <v>ZIP DRIVE 100MB SCSI IOMEGA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 t="s">
        <v>160</v>
      </c>
      <c r="B95" s="5" t="s">
        <v>157</v>
      </c>
      <c r="C95" s="6">
        <v>589000.0</v>
      </c>
      <c r="D95" s="7">
        <f t="shared" si="1"/>
        <v>9816666.667</v>
      </c>
      <c r="E95" s="5" t="str">
        <f t="shared" si="2"/>
        <v>JAZ DRIVE 1GB INT. IOMEGA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 t="s">
        <v>161</v>
      </c>
      <c r="B96" s="5" t="s">
        <v>157</v>
      </c>
      <c r="C96" s="6">
        <v>743000.0</v>
      </c>
      <c r="D96" s="7">
        <f t="shared" si="1"/>
        <v>12383333.33</v>
      </c>
      <c r="E96" s="5" t="str">
        <f t="shared" si="2"/>
        <v>JAZ DRIVE 1GB EXT. IOMEGA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 t="s">
        <v>162</v>
      </c>
      <c r="B97" s="5" t="s">
        <v>129</v>
      </c>
      <c r="C97" s="6">
        <v>271000.0</v>
      </c>
      <c r="D97" s="7">
        <f t="shared" si="1"/>
        <v>4516666.667</v>
      </c>
      <c r="E97" s="5" t="str">
        <f t="shared" si="2"/>
        <v>KIT 10  CARTUCCE ZIP DRIVE  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 t="s">
        <v>163</v>
      </c>
      <c r="B98" s="5" t="s">
        <v>129</v>
      </c>
      <c r="C98" s="6">
        <v>632000.0</v>
      </c>
      <c r="D98" s="7">
        <f t="shared" si="1"/>
        <v>10533333.33</v>
      </c>
      <c r="E98" s="5" t="str">
        <f t="shared" si="2"/>
        <v>KIT 3 CARTUCCE JAZ DRIVE  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 t="s">
        <v>164</v>
      </c>
      <c r="B99" s="5" t="s">
        <v>165</v>
      </c>
      <c r="C99" s="6">
        <v>90000.0</v>
      </c>
      <c r="D99" s="7">
        <f t="shared" si="1"/>
        <v>1500000</v>
      </c>
      <c r="E99" s="5" t="str">
        <f t="shared" si="2"/>
        <v>KIT 3 CARTUCCE 120MB 3M per LS-120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 t="s">
        <v>166</v>
      </c>
      <c r="B100" s="5" t="s">
        <v>167</v>
      </c>
      <c r="C100" s="6">
        <v>4000.0</v>
      </c>
      <c r="D100" s="7">
        <f t="shared" si="1"/>
        <v>66666.66667</v>
      </c>
      <c r="E100" s="5" t="str">
        <f t="shared" si="2"/>
        <v>FRAME HDD  Kit montaggio Hard Disk 3,5"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 t="s">
        <v>168</v>
      </c>
      <c r="B101" s="5" t="s">
        <v>169</v>
      </c>
      <c r="C101" s="6">
        <v>5000.0</v>
      </c>
      <c r="D101" s="7">
        <f t="shared" si="1"/>
        <v>83333.33333</v>
      </c>
      <c r="E101" s="5" t="str">
        <f t="shared" si="2"/>
        <v>FRAME FDD  Kit montaggio Floppy Disk Drive 3,5"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 t="s">
        <v>170</v>
      </c>
      <c r="B102" s="5" t="s">
        <v>171</v>
      </c>
      <c r="C102" s="6">
        <v>41000.0</v>
      </c>
      <c r="D102" s="7">
        <f t="shared" si="1"/>
        <v>683333.3333</v>
      </c>
      <c r="E102" s="5" t="str">
        <f t="shared" si="2"/>
        <v>FRAME REMOVIBILE 3.5" Kit FRAME REMOVIBILE per HDD 3,5"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 t="s">
        <v>172</v>
      </c>
      <c r="B103" s="5"/>
      <c r="C103" s="6"/>
      <c r="D103" s="7">
        <f t="shared" si="1"/>
        <v>0</v>
      </c>
      <c r="E103" s="5" t="str">
        <f t="shared" si="2"/>
        <v>MAGNETO-OTTICI 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 t="s">
        <v>173</v>
      </c>
      <c r="B104" s="5" t="s">
        <v>174</v>
      </c>
      <c r="C104" s="6">
        <v>737000.0</v>
      </c>
      <c r="D104" s="7">
        <f t="shared" si="1"/>
        <v>12283333.33</v>
      </c>
      <c r="E104" s="5" t="str">
        <f t="shared" si="2"/>
        <v>M.O. + CD 4X,  PD 2000 INT. 650 MB PLASMON PD2000I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 t="s">
        <v>175</v>
      </c>
      <c r="B105" s="5" t="s">
        <v>176</v>
      </c>
      <c r="C105" s="6">
        <v>910000.0</v>
      </c>
      <c r="D105" s="7">
        <f t="shared" si="1"/>
        <v>15166666.67</v>
      </c>
      <c r="E105" s="5" t="str">
        <f t="shared" si="2"/>
        <v>M.O. + CD 4X,  PD 2000 EXT. 650 MB PLASMON PD2000E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 t="s">
        <v>177</v>
      </c>
      <c r="B106" s="5"/>
      <c r="C106" s="6">
        <v>241000.0</v>
      </c>
      <c r="D106" s="7">
        <f t="shared" si="1"/>
        <v>4016666.667</v>
      </c>
      <c r="E106" s="5" t="str">
        <f t="shared" si="2"/>
        <v>KIT 5 CARTUCCE 650 MB 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 t="s">
        <v>178</v>
      </c>
      <c r="B107" s="5"/>
      <c r="C107" s="6"/>
      <c r="D107" s="7">
        <f t="shared" si="1"/>
        <v>0</v>
      </c>
      <c r="E107" s="5" t="str">
        <f t="shared" si="2"/>
        <v>CD ROM 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 t="s">
        <v>179</v>
      </c>
      <c r="B108" s="5" t="s">
        <v>180</v>
      </c>
      <c r="C108" s="6">
        <v>112000.0</v>
      </c>
      <c r="D108" s="7">
        <f t="shared" si="1"/>
        <v>1866666.667</v>
      </c>
      <c r="E108" s="5" t="str">
        <f t="shared" si="2"/>
        <v>CD ROM 24X HITACHI CDR 8330 24 velocita',EIDE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 t="s">
        <v>181</v>
      </c>
      <c r="B109" s="5" t="s">
        <v>180</v>
      </c>
      <c r="C109" s="6">
        <v>113000.0</v>
      </c>
      <c r="D109" s="7">
        <f t="shared" si="1"/>
        <v>1883333.333</v>
      </c>
      <c r="E109" s="5" t="str">
        <f t="shared" si="2"/>
        <v>CD ROM 24X CREATIVE 24 velocita',EIDE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 t="s">
        <v>182</v>
      </c>
      <c r="B110" s="5" t="s">
        <v>183</v>
      </c>
      <c r="C110" s="6">
        <v>121000.0</v>
      </c>
      <c r="D110" s="7">
        <f t="shared" si="1"/>
        <v>2016666.667</v>
      </c>
      <c r="E110" s="5" t="str">
        <f t="shared" si="2"/>
        <v>CD ROM 24X PIONEER 502-S Bulk 24 velocita',EIDE,SLOT-IN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 t="s">
        <v>184</v>
      </c>
      <c r="B111" s="5" t="s">
        <v>185</v>
      </c>
      <c r="C111" s="6">
        <v>160000.0</v>
      </c>
      <c r="D111" s="7">
        <f t="shared" si="1"/>
        <v>2666666.667</v>
      </c>
      <c r="E111" s="5" t="str">
        <f t="shared" si="2"/>
        <v>CD ROM 34X ASUS 34 velocita',EIDE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 t="s">
        <v>186</v>
      </c>
      <c r="B112" s="5" t="s">
        <v>187</v>
      </c>
      <c r="C112" s="6">
        <v>195000.0</v>
      </c>
      <c r="D112" s="7">
        <f t="shared" si="1"/>
        <v>3250000</v>
      </c>
      <c r="E112" s="5" t="str">
        <f t="shared" si="2"/>
        <v>CD ROM 24X SCSI NEC 24 velocita',SCSI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 t="s">
        <v>188</v>
      </c>
      <c r="B113" s="5" t="s">
        <v>189</v>
      </c>
      <c r="C113" s="6">
        <v>215000.0</v>
      </c>
      <c r="D113" s="7">
        <f t="shared" si="1"/>
        <v>3583333.333</v>
      </c>
      <c r="E113" s="5" t="str">
        <f t="shared" si="2"/>
        <v>CD ROM 32X SCSI WAITEC 32 velocita',SCSI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 t="s">
        <v>190</v>
      </c>
      <c r="B114" s="5" t="s">
        <v>189</v>
      </c>
      <c r="C114" s="6">
        <v>321000.0</v>
      </c>
      <c r="D114" s="7">
        <f t="shared" si="1"/>
        <v>5350000</v>
      </c>
      <c r="E114" s="5" t="str">
        <f t="shared" si="2"/>
        <v>CD ROM PLEXTOR PX-32TSI 32 velocita',SCSI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 t="s">
        <v>191</v>
      </c>
      <c r="B115" s="5" t="s">
        <v>192</v>
      </c>
      <c r="C115" s="6">
        <v>614000.0</v>
      </c>
      <c r="D115" s="7">
        <f t="shared" si="1"/>
        <v>10233333.33</v>
      </c>
      <c r="E115" s="5" t="str">
        <f t="shared" si="2"/>
        <v>DVD CREATIVE KIT ENCORE DXR2 CREATIVE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 t="s">
        <v>193</v>
      </c>
      <c r="B116" s="5"/>
      <c r="C116" s="6"/>
      <c r="D116" s="7">
        <f t="shared" si="1"/>
        <v>0</v>
      </c>
      <c r="E116" s="5" t="str">
        <f t="shared" si="2"/>
        <v>MASTERIZZATORI 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 t="s">
        <v>194</v>
      </c>
      <c r="B117" s="5" t="s">
        <v>195</v>
      </c>
      <c r="C117" s="6">
        <v>30000.0</v>
      </c>
      <c r="D117" s="7">
        <f t="shared" si="1"/>
        <v>500000</v>
      </c>
      <c r="E117" s="5" t="str">
        <f t="shared" si="2"/>
        <v>CONFEZIONE 10 CDR 74' Kit 10 pz.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 t="s">
        <v>196</v>
      </c>
      <c r="B118" s="5" t="s">
        <v>197</v>
      </c>
      <c r="C118" s="6">
        <v>34000.0</v>
      </c>
      <c r="D118" s="7">
        <f t="shared" si="1"/>
        <v>566666.6667</v>
      </c>
      <c r="E118" s="5" t="str">
        <f t="shared" si="2"/>
        <v>CD RISCRIVIBILE 74' VERBATIM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 t="s">
        <v>198</v>
      </c>
      <c r="B119" s="5" t="s">
        <v>195</v>
      </c>
      <c r="C119" s="6">
        <v>35000.0</v>
      </c>
      <c r="D119" s="7">
        <f t="shared" si="1"/>
        <v>583333.3333</v>
      </c>
      <c r="E119" s="5" t="str">
        <f t="shared" si="2"/>
        <v>CONFEZIONE 10 CDR 74' KODAK Kit 10 pz.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 t="s">
        <v>199</v>
      </c>
      <c r="B120" s="5" t="s">
        <v>200</v>
      </c>
      <c r="C120" s="6">
        <v>77000.0</v>
      </c>
      <c r="D120" s="7">
        <f t="shared" si="1"/>
        <v>1283333.333</v>
      </c>
      <c r="E120" s="5" t="str">
        <f t="shared" si="2"/>
        <v>SOFTWARE LABELLER CD KIT Software per creazione etichette CD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 t="s">
        <v>201</v>
      </c>
      <c r="B121" s="5" t="s">
        <v>202</v>
      </c>
      <c r="C121" s="6">
        <v>723000.0</v>
      </c>
      <c r="D121" s="7">
        <f t="shared" si="1"/>
        <v>12050000</v>
      </c>
      <c r="E121" s="5" t="str">
        <f t="shared" si="2"/>
        <v>WAITEC WT48/1 - GEAR - int. 4 WRITE 8 READ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 t="s">
        <v>203</v>
      </c>
      <c r="B122" s="5" t="s">
        <v>204</v>
      </c>
      <c r="C122" s="6">
        <v>742000.0</v>
      </c>
      <c r="D122" s="7">
        <f t="shared" si="1"/>
        <v>12366666.67</v>
      </c>
      <c r="E122" s="5" t="str">
        <f t="shared" si="2"/>
        <v>WAITEC 2036EI/1 - SOFTWARE  CD RISCRIVIBILE 2REW,2WRI,6READ, EIDE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 t="s">
        <v>205</v>
      </c>
      <c r="B123" s="5" t="s">
        <v>206</v>
      </c>
      <c r="C123" s="6">
        <v>778000.0</v>
      </c>
      <c r="D123" s="7">
        <f t="shared" si="1"/>
        <v>12966666.67</v>
      </c>
      <c r="E123" s="5" t="str">
        <f t="shared" si="2"/>
        <v>RICOH MP6200ADP + SOFT.+5 CDR CD RISCRIVIBILE 2REW,2WRI,6R E-IDE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 t="s">
        <v>207</v>
      </c>
      <c r="B124" s="5" t="s">
        <v>208</v>
      </c>
      <c r="C124" s="6">
        <v>878000.0</v>
      </c>
      <c r="D124" s="7">
        <f t="shared" si="1"/>
        <v>14633333.33</v>
      </c>
      <c r="E124" s="5" t="str">
        <f t="shared" si="2"/>
        <v>RICOH MP6200SR - SOFTWARE SCSI CD RISCRIVIBILE 2REW,2WRI,6READ, SCSI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 t="s">
        <v>209</v>
      </c>
      <c r="B125" s="5" t="s">
        <v>208</v>
      </c>
      <c r="C125" s="6">
        <v>883000.0</v>
      </c>
      <c r="D125" s="7">
        <f t="shared" si="1"/>
        <v>14716666.67</v>
      </c>
      <c r="E125" s="5" t="str">
        <f t="shared" si="2"/>
        <v>WAITEC 2026/1 - SOFTWARE SCSI CD RISCRIVIBILE 2REW,2WRI,6READ, SCSI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 t="s">
        <v>210</v>
      </c>
      <c r="B126" s="5" t="s">
        <v>202</v>
      </c>
      <c r="C126" s="6">
        <v>913000.0</v>
      </c>
      <c r="D126" s="7">
        <f t="shared" si="1"/>
        <v>15216666.67</v>
      </c>
      <c r="E126" s="5" t="str">
        <f t="shared" si="2"/>
        <v>CDR 480i PLASMON EASY CD int. 4 WRITE 8 READ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 t="s">
        <v>211</v>
      </c>
      <c r="B127" s="5" t="s">
        <v>212</v>
      </c>
      <c r="C127" s="6">
        <v>1125000.0</v>
      </c>
      <c r="D127" s="7">
        <f t="shared" si="1"/>
        <v>18750000</v>
      </c>
      <c r="E127" s="5" t="str">
        <f t="shared" si="2"/>
        <v>CDR 480e PLASMON EASY CD ext. 4 WRITE 8 READ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 t="s">
        <v>213</v>
      </c>
      <c r="B128" s="5"/>
      <c r="C128" s="6"/>
      <c r="D128" s="7">
        <f t="shared" si="1"/>
        <v>0</v>
      </c>
      <c r="E128" s="5" t="str">
        <f t="shared" si="2"/>
        <v>MEMORIE 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 t="s">
        <v>214</v>
      </c>
      <c r="B129" s="5"/>
      <c r="C129" s="6">
        <v>33000.0</v>
      </c>
      <c r="D129" s="7">
        <f t="shared" si="1"/>
        <v>550000</v>
      </c>
      <c r="E129" s="5" t="str">
        <f t="shared" si="2"/>
        <v>SIMM 8MB 72 PIN (EDO) 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 t="s">
        <v>215</v>
      </c>
      <c r="B130" s="5"/>
      <c r="C130" s="6">
        <v>52000.0</v>
      </c>
      <c r="D130" s="7">
        <f t="shared" si="1"/>
        <v>866666.6667</v>
      </c>
      <c r="E130" s="5" t="str">
        <f t="shared" si="2"/>
        <v>SIMM 16MB 72 PIN (EDO) 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 t="s">
        <v>216</v>
      </c>
      <c r="B131" s="5"/>
      <c r="C131" s="6">
        <v>97000.0</v>
      </c>
      <c r="D131" s="7">
        <f t="shared" si="1"/>
        <v>1616666.667</v>
      </c>
      <c r="E131" s="5" t="str">
        <f t="shared" si="2"/>
        <v>SIMM 32MB 72 PIN (EDO) 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 t="s">
        <v>217</v>
      </c>
      <c r="B132" s="5" t="s">
        <v>129</v>
      </c>
      <c r="C132" s="6"/>
      <c r="D132" s="7">
        <f t="shared" si="1"/>
        <v>0</v>
      </c>
      <c r="E132" s="5" t="str">
        <f t="shared" si="2"/>
        <v>MODEM FAX - VIDEOCAMERA  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 t="s">
        <v>218</v>
      </c>
      <c r="B133" s="5" t="s">
        <v>219</v>
      </c>
      <c r="C133" s="6">
        <v>131000.0</v>
      </c>
      <c r="D133" s="7">
        <f t="shared" si="1"/>
        <v>2183333.333</v>
      </c>
      <c r="E133" s="5" t="str">
        <f t="shared" si="2"/>
        <v>M/F MOTOROLA 3400PRO 28800 EXT MOTOROLA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 t="s">
        <v>220</v>
      </c>
      <c r="B134" s="5" t="s">
        <v>221</v>
      </c>
      <c r="C134" s="6">
        <v>169000.0</v>
      </c>
      <c r="D134" s="7">
        <f t="shared" si="1"/>
        <v>2816666.667</v>
      </c>
      <c r="E134" s="5" t="str">
        <f t="shared" si="2"/>
        <v>M/F LEONARDO PC 33600 INT OEM DIGICOM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 t="s">
        <v>222</v>
      </c>
      <c r="B135" s="5" t="s">
        <v>221</v>
      </c>
      <c r="C135" s="6">
        <v>190000.0</v>
      </c>
      <c r="D135" s="7">
        <f t="shared" si="1"/>
        <v>3166666.667</v>
      </c>
      <c r="E135" s="5" t="str">
        <f t="shared" si="2"/>
        <v>M/F LEONARDO PC 33600 EXT DIGICOM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 t="s">
        <v>223</v>
      </c>
      <c r="B136" s="5" t="s">
        <v>219</v>
      </c>
      <c r="C136" s="6">
        <v>191000.0</v>
      </c>
      <c r="D136" s="7">
        <f t="shared" si="1"/>
        <v>3183333.333</v>
      </c>
      <c r="E136" s="5" t="str">
        <f t="shared" si="2"/>
        <v>M/F MOTOROLA 56K  EXT BULK MOTOROLA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 t="s">
        <v>224</v>
      </c>
      <c r="B137" s="5" t="s">
        <v>221</v>
      </c>
      <c r="C137" s="6">
        <v>197000.0</v>
      </c>
      <c r="D137" s="7">
        <f t="shared" si="1"/>
        <v>3283333.333</v>
      </c>
      <c r="E137" s="5" t="str">
        <f t="shared" si="2"/>
        <v>M/F LEONARDO PC 33600 INT DIGICOM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 t="s">
        <v>225</v>
      </c>
      <c r="B138" s="5" t="s">
        <v>221</v>
      </c>
      <c r="C138" s="6">
        <v>201000.0</v>
      </c>
      <c r="D138" s="7">
        <f t="shared" si="1"/>
        <v>3350000</v>
      </c>
      <c r="E138" s="5" t="str">
        <f t="shared" si="2"/>
        <v>M/F TIZIANO 33600 EXT DIGICOM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 t="s">
        <v>226</v>
      </c>
      <c r="B139" s="5" t="s">
        <v>227</v>
      </c>
      <c r="C139" s="6">
        <v>220000.0</v>
      </c>
      <c r="D139" s="7">
        <f t="shared" si="1"/>
        <v>3666666.667</v>
      </c>
      <c r="E139" s="5" t="str">
        <f t="shared" si="2"/>
        <v>M/F SPORTSTER FLASH 33600 EXT ITA  US ROBOTICS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 t="s">
        <v>228</v>
      </c>
      <c r="B140" s="5" t="s">
        <v>219</v>
      </c>
      <c r="C140" s="6">
        <v>250000.0</v>
      </c>
      <c r="D140" s="7">
        <f t="shared" si="1"/>
        <v>4166666.667</v>
      </c>
      <c r="E140" s="5" t="str">
        <f t="shared" si="2"/>
        <v>M/F MOTOROLA 56K  EXT MOTOROLA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 t="s">
        <v>229</v>
      </c>
      <c r="B141" s="5" t="s">
        <v>221</v>
      </c>
      <c r="C141" s="6">
        <v>257000.0</v>
      </c>
      <c r="D141" s="7">
        <f t="shared" si="1"/>
        <v>4283333.333</v>
      </c>
      <c r="E141" s="5" t="str">
        <f t="shared" si="2"/>
        <v>M/F LEONARDO  56K  EXT DIGICOM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 t="s">
        <v>230</v>
      </c>
      <c r="B142" s="5" t="s">
        <v>221</v>
      </c>
      <c r="C142" s="6">
        <v>278000.0</v>
      </c>
      <c r="D142" s="7">
        <f t="shared" si="1"/>
        <v>4633333.333</v>
      </c>
      <c r="E142" s="5" t="str">
        <f t="shared" si="2"/>
        <v>M/F TIZIANO 56K EXT DIGICOM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 t="s">
        <v>231</v>
      </c>
      <c r="B143" s="5" t="s">
        <v>227</v>
      </c>
      <c r="C143" s="6">
        <v>280000.0</v>
      </c>
      <c r="D143" s="7">
        <f t="shared" si="1"/>
        <v>4666666.667</v>
      </c>
      <c r="E143" s="5" t="str">
        <f t="shared" si="2"/>
        <v>M/F SPORTSTER MESSAGE PLUS US ROBOTICS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 t="s">
        <v>232</v>
      </c>
      <c r="B144" s="5" t="s">
        <v>221</v>
      </c>
      <c r="C144" s="6">
        <v>300000.0</v>
      </c>
      <c r="D144" s="7">
        <f t="shared" si="1"/>
        <v>5000000</v>
      </c>
      <c r="E144" s="5" t="str">
        <f t="shared" si="2"/>
        <v>M/F LEONARDO PCMCIA 33600 DIGICOM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 t="s">
        <v>233</v>
      </c>
      <c r="B145" s="5" t="s">
        <v>234</v>
      </c>
      <c r="C145" s="6">
        <v>305000.0</v>
      </c>
      <c r="D145" s="7">
        <f t="shared" si="1"/>
        <v>5083333.333</v>
      </c>
      <c r="E145" s="5" t="str">
        <f t="shared" si="2"/>
        <v>KIT VIDEOCONFERENZA "GALILEO" DIGICOM / H.324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 t="s">
        <v>235</v>
      </c>
      <c r="B146" s="5" t="s">
        <v>221</v>
      </c>
      <c r="C146" s="6">
        <v>335000.0</v>
      </c>
      <c r="D146" s="7">
        <f t="shared" si="1"/>
        <v>5583333.333</v>
      </c>
      <c r="E146" s="5" t="str">
        <f t="shared" si="2"/>
        <v>MODEM ISDN TINTORETTO EXT. DIGICOM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 t="s">
        <v>236</v>
      </c>
      <c r="B147" s="5" t="s">
        <v>221</v>
      </c>
      <c r="C147" s="6">
        <v>360000.0</v>
      </c>
      <c r="D147" s="7">
        <f t="shared" si="1"/>
        <v>6000000</v>
      </c>
      <c r="E147" s="5" t="str">
        <f t="shared" si="2"/>
        <v>M/F LEONARDO PCMCIA 56K DIGICOM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 t="s">
        <v>237</v>
      </c>
      <c r="B148" s="5" t="s">
        <v>219</v>
      </c>
      <c r="C148" s="6">
        <v>429000.0</v>
      </c>
      <c r="D148" s="7">
        <f t="shared" si="1"/>
        <v>7150000</v>
      </c>
      <c r="E148" s="5" t="str">
        <f t="shared" si="2"/>
        <v>MODEM MOTOROLA ISDN  EXT.64/128K MOTOROLA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 t="s">
        <v>238</v>
      </c>
      <c r="B149" s="5" t="s">
        <v>221</v>
      </c>
      <c r="C149" s="6">
        <v>701000.0</v>
      </c>
      <c r="D149" s="7">
        <f t="shared" si="1"/>
        <v>11683333.33</v>
      </c>
      <c r="E149" s="5" t="str">
        <f t="shared" si="2"/>
        <v>M/F ISDN DONATELLO EXT. DIGICOM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 t="s">
        <v>239</v>
      </c>
      <c r="B150" s="5"/>
      <c r="C150" s="6"/>
      <c r="D150" s="7">
        <f t="shared" si="1"/>
        <v>0</v>
      </c>
      <c r="E150" s="5" t="str">
        <f t="shared" si="2"/>
        <v>MULTIMEDIA 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 t="s">
        <v>240</v>
      </c>
      <c r="B151" s="5" t="s">
        <v>241</v>
      </c>
      <c r="C151" s="6">
        <v>90000.0</v>
      </c>
      <c r="D151" s="7">
        <f t="shared" si="1"/>
        <v>1500000</v>
      </c>
      <c r="E151" s="5" t="str">
        <f t="shared" si="2"/>
        <v>SOUND AXP201/U PCI 64 Asus - ESS Maestro-1 Audio accellerator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 t="s">
        <v>242</v>
      </c>
      <c r="B152" s="5" t="s">
        <v>243</v>
      </c>
      <c r="C152" s="6">
        <v>69000.0</v>
      </c>
      <c r="D152" s="7">
        <f t="shared" si="1"/>
        <v>1150000</v>
      </c>
      <c r="E152" s="5" t="str">
        <f t="shared" si="2"/>
        <v>SOUND BLASTER 16 PnP  O.E.M. Creative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 t="s">
        <v>244</v>
      </c>
      <c r="B153" s="5" t="s">
        <v>243</v>
      </c>
      <c r="C153" s="6">
        <v>89000.0</v>
      </c>
      <c r="D153" s="7">
        <f t="shared" si="1"/>
        <v>1483333.333</v>
      </c>
      <c r="E153" s="5" t="str">
        <f t="shared" si="2"/>
        <v>SOUND BLASTER 16 PnP NO IDE Creative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 t="s">
        <v>245</v>
      </c>
      <c r="B154" s="5" t="s">
        <v>243</v>
      </c>
      <c r="C154" s="6">
        <v>138000.0</v>
      </c>
      <c r="D154" s="7">
        <f t="shared" si="1"/>
        <v>2300000</v>
      </c>
      <c r="E154" s="5" t="str">
        <f t="shared" si="2"/>
        <v>SOUND BLASTER AWE64 STD OEM Creative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 t="s">
        <v>246</v>
      </c>
      <c r="B155" s="5" t="s">
        <v>243</v>
      </c>
      <c r="C155" s="6">
        <v>196000.0</v>
      </c>
      <c r="D155" s="7">
        <f t="shared" si="1"/>
        <v>3266666.667</v>
      </c>
      <c r="E155" s="5" t="str">
        <f t="shared" si="2"/>
        <v>SOUND BLASTER AWE64 STANDARD Creative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 t="s">
        <v>247</v>
      </c>
      <c r="B156" s="5" t="s">
        <v>243</v>
      </c>
      <c r="C156" s="6">
        <v>329000.0</v>
      </c>
      <c r="D156" s="7">
        <f t="shared" si="1"/>
        <v>5483333.333</v>
      </c>
      <c r="E156" s="5" t="str">
        <f t="shared" si="2"/>
        <v>SOUND BLASTER AWE64 GOLD PNP  Creative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 t="s">
        <v>248</v>
      </c>
      <c r="B157" s="5" t="s">
        <v>243</v>
      </c>
      <c r="C157" s="6">
        <v>295000.0</v>
      </c>
      <c r="D157" s="7">
        <f t="shared" si="1"/>
        <v>4916666.667</v>
      </c>
      <c r="E157" s="5" t="str">
        <f t="shared" si="2"/>
        <v>KIT "DISCOVERY AWE64" 24X PNP Creative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 t="s">
        <v>249</v>
      </c>
      <c r="B158" s="5" t="s">
        <v>250</v>
      </c>
      <c r="C158" s="6">
        <v>19000.0</v>
      </c>
      <c r="D158" s="7">
        <f t="shared" si="1"/>
        <v>316666.6667</v>
      </c>
      <c r="E158" s="5" t="str">
        <f t="shared" si="2"/>
        <v>SPEAKERS MLI-699 MLI-60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 t="s">
        <v>251</v>
      </c>
      <c r="B159" s="5" t="s">
        <v>252</v>
      </c>
      <c r="C159" s="6">
        <v>26000.0</v>
      </c>
      <c r="D159" s="7">
        <f t="shared" si="1"/>
        <v>433333.3333</v>
      </c>
      <c r="E159" s="5" t="str">
        <f t="shared" si="2"/>
        <v>SPEAKER 25 W FS-60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 t="s">
        <v>253</v>
      </c>
      <c r="B160" s="5" t="s">
        <v>254</v>
      </c>
      <c r="C160" s="6">
        <v>28000.0</v>
      </c>
      <c r="D160" s="7">
        <f t="shared" si="1"/>
        <v>466666.6667</v>
      </c>
      <c r="E160" s="5" t="str">
        <f t="shared" si="2"/>
        <v>SPEAKER PROFESSIONAL 70 W FS-70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 t="s">
        <v>255</v>
      </c>
      <c r="B161" s="5" t="s">
        <v>256</v>
      </c>
      <c r="C161" s="6">
        <v>56000.0</v>
      </c>
      <c r="D161" s="7">
        <f t="shared" si="1"/>
        <v>933333.3333</v>
      </c>
      <c r="E161" s="5" t="str">
        <f t="shared" si="2"/>
        <v>ULTRA SPEAKER 130W FS-100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 t="s">
        <v>257</v>
      </c>
      <c r="B162" s="5"/>
      <c r="C162" s="6"/>
      <c r="D162" s="7">
        <f t="shared" si="1"/>
        <v>0</v>
      </c>
      <c r="E162" s="5" t="str">
        <f t="shared" si="2"/>
        <v>MICROPROCESSORI 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 t="s">
        <v>258</v>
      </c>
      <c r="B163" s="5"/>
      <c r="C163" s="6">
        <v>216000.0</v>
      </c>
      <c r="D163" s="7">
        <f t="shared" si="1"/>
        <v>3600000</v>
      </c>
      <c r="E163" s="5" t="str">
        <f t="shared" si="2"/>
        <v>PENTIUM 166 INTEL MMX 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 t="s">
        <v>259</v>
      </c>
      <c r="B164" s="5"/>
      <c r="C164" s="6">
        <v>250000.0</v>
      </c>
      <c r="D164" s="7">
        <f t="shared" si="1"/>
        <v>4166666.667</v>
      </c>
      <c r="E164" s="5" t="str">
        <f t="shared" si="2"/>
        <v>PENTIUM 200 INTEL MMX 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 t="s">
        <v>260</v>
      </c>
      <c r="B165" s="5"/>
      <c r="C165" s="6">
        <v>382000.0</v>
      </c>
      <c r="D165" s="7">
        <f t="shared" si="1"/>
        <v>6366666.667</v>
      </c>
      <c r="E165" s="5" t="str">
        <f t="shared" si="2"/>
        <v>PENTIUM 233 INTEL MMX 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 t="s">
        <v>261</v>
      </c>
      <c r="B166" s="5"/>
      <c r="C166" s="6">
        <v>524000.0</v>
      </c>
      <c r="D166" s="7">
        <f t="shared" si="1"/>
        <v>8733333.333</v>
      </c>
      <c r="E166" s="5" t="str">
        <f t="shared" si="2"/>
        <v>PENTIUM II 233 INTEL 512k 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 t="s">
        <v>262</v>
      </c>
      <c r="B167" s="5"/>
      <c r="C167" s="6">
        <v>757000.0</v>
      </c>
      <c r="D167" s="7">
        <f t="shared" si="1"/>
        <v>12616666.67</v>
      </c>
      <c r="E167" s="5" t="str">
        <f t="shared" si="2"/>
        <v>PENTIUM II 266 INTEL 512k 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 t="s">
        <v>263</v>
      </c>
      <c r="B168" s="5"/>
      <c r="C168" s="6">
        <v>1045000.0</v>
      </c>
      <c r="D168" s="7">
        <f t="shared" si="1"/>
        <v>17416666.67</v>
      </c>
      <c r="E168" s="5" t="str">
        <f t="shared" si="2"/>
        <v>PENTIUM II 300 INTEL 512K 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 t="s">
        <v>264</v>
      </c>
      <c r="B169" s="5"/>
      <c r="C169" s="6">
        <v>1568000.0</v>
      </c>
      <c r="D169" s="7">
        <f t="shared" si="1"/>
        <v>26133333.33</v>
      </c>
      <c r="E169" s="5" t="str">
        <f t="shared" si="2"/>
        <v>PENTIUM II 333 INTEL 512K 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 t="s">
        <v>265</v>
      </c>
      <c r="B170" s="5"/>
      <c r="C170" s="6">
        <v>117000.0</v>
      </c>
      <c r="D170" s="7">
        <f t="shared" si="1"/>
        <v>1950000</v>
      </c>
      <c r="E170" s="5" t="str">
        <f t="shared" si="2"/>
        <v>SGS P 166+ 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 t="s">
        <v>266</v>
      </c>
      <c r="B171" s="5"/>
      <c r="C171" s="6">
        <v>158000.0</v>
      </c>
      <c r="D171" s="7">
        <f t="shared" si="1"/>
        <v>2633333.333</v>
      </c>
      <c r="E171" s="5" t="str">
        <f t="shared" si="2"/>
        <v>IBM 200 MX 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 t="s">
        <v>267</v>
      </c>
      <c r="B172" s="5"/>
      <c r="C172" s="6">
        <v>260000.0</v>
      </c>
      <c r="D172" s="7">
        <f t="shared" si="1"/>
        <v>4333333.333</v>
      </c>
      <c r="E172" s="5" t="str">
        <f t="shared" si="2"/>
        <v>IBM 233 MX 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 t="s">
        <v>268</v>
      </c>
      <c r="B173" s="5"/>
      <c r="C173" s="6">
        <v>193000.0</v>
      </c>
      <c r="D173" s="7">
        <f t="shared" si="1"/>
        <v>3216666.667</v>
      </c>
      <c r="E173" s="5" t="str">
        <f t="shared" si="2"/>
        <v>AMD K6-166 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 t="s">
        <v>269</v>
      </c>
      <c r="B174" s="5"/>
      <c r="C174" s="6">
        <v>270000.0</v>
      </c>
      <c r="D174" s="7">
        <f t="shared" si="1"/>
        <v>4500000</v>
      </c>
      <c r="E174" s="5" t="str">
        <f t="shared" si="2"/>
        <v>AMD K6-200 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 t="s">
        <v>270</v>
      </c>
      <c r="B175" s="5"/>
      <c r="C175" s="6">
        <v>314000.0</v>
      </c>
      <c r="D175" s="7">
        <f t="shared" si="1"/>
        <v>5233333.333</v>
      </c>
      <c r="E175" s="5" t="str">
        <f t="shared" si="2"/>
        <v>AMD K6-233 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 t="s">
        <v>271</v>
      </c>
      <c r="B176" s="5"/>
      <c r="C176" s="6">
        <v>894000.0</v>
      </c>
      <c r="D176" s="7">
        <f t="shared" si="1"/>
        <v>14900000</v>
      </c>
      <c r="E176" s="5" t="str">
        <f t="shared" si="2"/>
        <v>PENTIUM PRO 180 MZH 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 t="s">
        <v>272</v>
      </c>
      <c r="B177" s="5"/>
      <c r="C177" s="6">
        <v>1040000.0</v>
      </c>
      <c r="D177" s="7">
        <f t="shared" si="1"/>
        <v>17333333.33</v>
      </c>
      <c r="E177" s="5" t="str">
        <f t="shared" si="2"/>
        <v>PENTIUM PRO 200 MZH 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 t="s">
        <v>273</v>
      </c>
      <c r="B178" s="5"/>
      <c r="C178" s="6">
        <v>8000.0</v>
      </c>
      <c r="D178" s="7">
        <f t="shared" si="1"/>
        <v>133333.3333</v>
      </c>
      <c r="E178" s="5" t="str">
        <f t="shared" si="2"/>
        <v>VENTOLINA PENTIUM 75-166 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 t="s">
        <v>274</v>
      </c>
      <c r="B179" s="5"/>
      <c r="C179" s="6">
        <v>10000.0</v>
      </c>
      <c r="D179" s="7">
        <f t="shared" si="1"/>
        <v>166666.6667</v>
      </c>
      <c r="E179" s="5" t="str">
        <f t="shared" si="2"/>
        <v>VENTOLINA PENTIUM 200 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 t="s">
        <v>275</v>
      </c>
      <c r="B180" s="5"/>
      <c r="C180" s="6">
        <v>24000.0</v>
      </c>
      <c r="D180" s="7">
        <f t="shared" si="1"/>
        <v>400000</v>
      </c>
      <c r="E180" s="5" t="str">
        <f t="shared" si="2"/>
        <v>VENTOLA PER PENTIUM PRO 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 t="s">
        <v>276</v>
      </c>
      <c r="B181" s="5" t="s">
        <v>129</v>
      </c>
      <c r="C181" s="6">
        <v>11000.0</v>
      </c>
      <c r="D181" s="7">
        <f t="shared" si="1"/>
        <v>183333.3333</v>
      </c>
      <c r="E181" s="5" t="str">
        <f t="shared" si="2"/>
        <v>VENTOLINA PER IBM/CYRIX 686  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 t="s">
        <v>277</v>
      </c>
      <c r="B182" s="5" t="s">
        <v>129</v>
      </c>
      <c r="C182" s="6">
        <v>10000.0</v>
      </c>
      <c r="D182" s="7">
        <f t="shared" si="1"/>
        <v>166666.6667</v>
      </c>
      <c r="E182" s="5" t="str">
        <f t="shared" si="2"/>
        <v>VENTOLA 3 PIN per TX97  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 t="s">
        <v>278</v>
      </c>
      <c r="B183" s="5" t="s">
        <v>129</v>
      </c>
      <c r="C183" s="6">
        <v>26000.0</v>
      </c>
      <c r="D183" s="7">
        <f t="shared" si="1"/>
        <v>433333.3333</v>
      </c>
      <c r="E183" s="5" t="str">
        <f t="shared" si="2"/>
        <v>VENTOLA PENTIUM II  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 t="s">
        <v>279</v>
      </c>
      <c r="B184" s="5"/>
      <c r="C184" s="6"/>
      <c r="D184" s="7">
        <f t="shared" si="1"/>
        <v>0</v>
      </c>
      <c r="E184" s="5" t="str">
        <f t="shared" si="2"/>
        <v>TASTIERE 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 t="s">
        <v>280</v>
      </c>
      <c r="B185" s="5" t="s">
        <v>281</v>
      </c>
      <c r="C185" s="6">
        <v>22000.0</v>
      </c>
      <c r="D185" s="7">
        <f t="shared" si="1"/>
        <v>366666.6667</v>
      </c>
      <c r="E185" s="5" t="str">
        <f t="shared" si="2"/>
        <v>TAST. ITA 105 TASTI WIN 95 UNIKEY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 t="s">
        <v>282</v>
      </c>
      <c r="B186" s="5" t="s">
        <v>283</v>
      </c>
      <c r="C186" s="6">
        <v>63000.0</v>
      </c>
      <c r="D186" s="7">
        <f t="shared" si="1"/>
        <v>1050000</v>
      </c>
      <c r="E186" s="5" t="str">
        <f t="shared" si="2"/>
        <v>TAST. ITA   79t BTC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 t="s">
        <v>284</v>
      </c>
      <c r="B187" s="5" t="s">
        <v>283</v>
      </c>
      <c r="C187" s="6">
        <v>63000.0</v>
      </c>
      <c r="D187" s="7">
        <f t="shared" si="1"/>
        <v>1050000</v>
      </c>
      <c r="E187" s="5" t="str">
        <f t="shared" si="2"/>
        <v>TAST. USA 79t BTC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 t="s">
        <v>285</v>
      </c>
      <c r="B188" s="5" t="s">
        <v>283</v>
      </c>
      <c r="C188" s="6">
        <v>26000.0</v>
      </c>
      <c r="D188" s="7">
        <f t="shared" si="1"/>
        <v>433333.3333</v>
      </c>
      <c r="E188" s="5" t="str">
        <f t="shared" si="2"/>
        <v>TAST. USA 105 TASTI WIN95 BTC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 t="s">
        <v>286</v>
      </c>
      <c r="B189" s="5" t="s">
        <v>287</v>
      </c>
      <c r="C189" s="6">
        <v>25000.0</v>
      </c>
      <c r="D189" s="7">
        <f t="shared" si="1"/>
        <v>416666.6667</v>
      </c>
      <c r="E189" s="5" t="str">
        <f t="shared" si="2"/>
        <v>TAST. ITA  105 TASTI NMB, WIN95 NMB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 t="s">
        <v>288</v>
      </c>
      <c r="B190" s="5" t="s">
        <v>287</v>
      </c>
      <c r="C190" s="6">
        <v>25000.0</v>
      </c>
      <c r="D190" s="7">
        <f t="shared" si="1"/>
        <v>416666.6667</v>
      </c>
      <c r="E190" s="5" t="str">
        <f t="shared" si="2"/>
        <v>TAST. ITA  105 TASTI NMB, PS/2 WIN95 NMB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 t="s">
        <v>289</v>
      </c>
      <c r="B191" s="5" t="s">
        <v>287</v>
      </c>
      <c r="C191" s="6">
        <v>46000.0</v>
      </c>
      <c r="D191" s="7">
        <f t="shared" si="1"/>
        <v>766666.6667</v>
      </c>
      <c r="E191" s="5" t="str">
        <f t="shared" si="2"/>
        <v>TAST. ITA 105 TASTI "CYPRESS"  WIN95 NMB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 t="s">
        <v>290</v>
      </c>
      <c r="B192" s="5"/>
      <c r="C192" s="6"/>
      <c r="D192" s="7">
        <f t="shared" si="1"/>
        <v>0</v>
      </c>
      <c r="E192" s="5" t="str">
        <f t="shared" si="2"/>
        <v>SCANNER E ACCESSORI 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 t="s">
        <v>291</v>
      </c>
      <c r="B193" s="5" t="s">
        <v>292</v>
      </c>
      <c r="C193" s="6">
        <v>37000.0</v>
      </c>
      <c r="D193" s="7">
        <f t="shared" si="1"/>
        <v>616666.6667</v>
      </c>
      <c r="E193" s="5" t="str">
        <f t="shared" si="2"/>
        <v>MOUSE  PILOT SERIALE LOGITECH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 t="s">
        <v>293</v>
      </c>
      <c r="B194" s="5" t="s">
        <v>292</v>
      </c>
      <c r="C194" s="6">
        <v>37000.0</v>
      </c>
      <c r="D194" s="7">
        <f t="shared" si="1"/>
        <v>616666.6667</v>
      </c>
      <c r="E194" s="5" t="str">
        <f t="shared" si="2"/>
        <v>MOUSE  PILOT P/S2 LOGITECH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 t="s">
        <v>294</v>
      </c>
      <c r="B195" s="5" t="s">
        <v>295</v>
      </c>
      <c r="C195" s="6">
        <v>11000.0</v>
      </c>
      <c r="D195" s="7">
        <f t="shared" si="1"/>
        <v>183333.3333</v>
      </c>
      <c r="E195" s="5" t="str">
        <f t="shared" si="2"/>
        <v>MOUSE SERIALE 3 TASTI PRIMAX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 t="s">
        <v>296</v>
      </c>
      <c r="B196" s="5" t="s">
        <v>295</v>
      </c>
      <c r="C196" s="6">
        <v>46000.0</v>
      </c>
      <c r="D196" s="7">
        <f t="shared" si="1"/>
        <v>766666.6667</v>
      </c>
      <c r="E196" s="5" t="str">
        <f t="shared" si="2"/>
        <v>MOUSE TRACKBALL  PRIMAX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 t="s">
        <v>297</v>
      </c>
      <c r="B197" s="5" t="s">
        <v>295</v>
      </c>
      <c r="C197" s="6">
        <v>19000.0</v>
      </c>
      <c r="D197" s="7">
        <f t="shared" si="1"/>
        <v>316666.6667</v>
      </c>
      <c r="E197" s="5" t="str">
        <f t="shared" si="2"/>
        <v>MOUSE "RAINBOW" SERIALE PRIMAX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 t="s">
        <v>298</v>
      </c>
      <c r="B198" s="5" t="s">
        <v>295</v>
      </c>
      <c r="C198" s="6">
        <v>13000.0</v>
      </c>
      <c r="D198" s="7">
        <f t="shared" si="1"/>
        <v>216666.6667</v>
      </c>
      <c r="E198" s="5" t="str">
        <f t="shared" si="2"/>
        <v>MOUSE  ECHO PS/2 PRIMAX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 t="s">
        <v>299</v>
      </c>
      <c r="B199" s="5" t="s">
        <v>295</v>
      </c>
      <c r="C199" s="6">
        <v>26000.0</v>
      </c>
      <c r="D199" s="7">
        <f t="shared" si="1"/>
        <v>433333.3333</v>
      </c>
      <c r="E199" s="5" t="str">
        <f t="shared" si="2"/>
        <v>VENUS MOUSE SERIALE PRIMAX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 t="s">
        <v>300</v>
      </c>
      <c r="B200" s="5" t="s">
        <v>295</v>
      </c>
      <c r="C200" s="6">
        <v>26000.0</v>
      </c>
      <c r="D200" s="7">
        <f t="shared" si="1"/>
        <v>433333.3333</v>
      </c>
      <c r="E200" s="5" t="str">
        <f t="shared" si="2"/>
        <v>VENUS MOUSE PS/2 PRIMAX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 t="s">
        <v>301</v>
      </c>
      <c r="B201" s="5" t="s">
        <v>295</v>
      </c>
      <c r="C201" s="6">
        <v>20000.0</v>
      </c>
      <c r="D201" s="7">
        <f t="shared" si="1"/>
        <v>333333.3333</v>
      </c>
      <c r="E201" s="5" t="str">
        <f t="shared" si="2"/>
        <v>JOYSTICK DIGITALE PRIMAX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 t="s">
        <v>302</v>
      </c>
      <c r="B202" s="5" t="s">
        <v>295</v>
      </c>
      <c r="C202" s="6">
        <v>49000.0</v>
      </c>
      <c r="D202" s="7">
        <f t="shared" si="1"/>
        <v>816666.6667</v>
      </c>
      <c r="E202" s="5" t="str">
        <f t="shared" si="2"/>
        <v>JOYSTICK ULTRASTRIKER PRIMAX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 t="s">
        <v>303</v>
      </c>
      <c r="B203" s="5" t="s">
        <v>295</v>
      </c>
      <c r="C203" s="6">
        <v>33000.0</v>
      </c>
      <c r="D203" s="7">
        <f t="shared" si="1"/>
        <v>550000</v>
      </c>
      <c r="E203" s="5" t="str">
        <f t="shared" si="2"/>
        <v>NAVIGATOR MOUSE PRIMAX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 t="s">
        <v>304</v>
      </c>
      <c r="B204" s="5" t="s">
        <v>295</v>
      </c>
      <c r="C204" s="6">
        <v>68000.0</v>
      </c>
      <c r="D204" s="7">
        <f t="shared" si="1"/>
        <v>1133333.333</v>
      </c>
      <c r="E204" s="5" t="str">
        <f t="shared" si="2"/>
        <v>JOYSTICK EXCALIBUR PRIMAX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 t="s">
        <v>305</v>
      </c>
      <c r="B205" s="5" t="s">
        <v>295</v>
      </c>
      <c r="C205" s="6">
        <v>33000.0</v>
      </c>
      <c r="D205" s="7">
        <f t="shared" si="1"/>
        <v>550000</v>
      </c>
      <c r="E205" s="5" t="str">
        <f t="shared" si="2"/>
        <v>GAMEPAD CONQUEROR PRIMAX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 t="s">
        <v>306</v>
      </c>
      <c r="B206" s="5" t="s">
        <v>295</v>
      </c>
      <c r="C206" s="6">
        <v>147000.0</v>
      </c>
      <c r="D206" s="7">
        <f t="shared" si="1"/>
        <v>2450000</v>
      </c>
      <c r="E206" s="5" t="str">
        <f t="shared" si="2"/>
        <v>COLOR HAND SCANNER PRIMAX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 t="s">
        <v>307</v>
      </c>
      <c r="B207" s="5" t="s">
        <v>295</v>
      </c>
      <c r="C207" s="6">
        <v>151000.0</v>
      </c>
      <c r="D207" s="7">
        <f t="shared" si="1"/>
        <v>2516666.667</v>
      </c>
      <c r="E207" s="5" t="str">
        <f t="shared" si="2"/>
        <v>SCANNER COLORADO 4800 SW + OCR  PRIMAX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 t="s">
        <v>308</v>
      </c>
      <c r="B208" s="5" t="s">
        <v>295</v>
      </c>
      <c r="C208" s="6">
        <v>197000.0</v>
      </c>
      <c r="D208" s="7">
        <f t="shared" si="1"/>
        <v>3283333.333</v>
      </c>
      <c r="E208" s="5" t="str">
        <f t="shared" si="2"/>
        <v>SCANNER COLORADO D600 SW + OCR  PRIMAX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 t="s">
        <v>309</v>
      </c>
      <c r="B209" s="5" t="s">
        <v>295</v>
      </c>
      <c r="C209" s="6">
        <v>310000.0</v>
      </c>
      <c r="D209" s="7">
        <f t="shared" si="1"/>
        <v>5166666.667</v>
      </c>
      <c r="E209" s="5" t="str">
        <f t="shared" si="2"/>
        <v>SCANNER  DIRECT 9600 SW + OCR PRIMAX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 t="s">
        <v>310</v>
      </c>
      <c r="B210" s="5" t="s">
        <v>295</v>
      </c>
      <c r="C210" s="6">
        <v>271000.0</v>
      </c>
      <c r="D210" s="7">
        <f t="shared" si="1"/>
        <v>4516666.667</v>
      </c>
      <c r="E210" s="5" t="str">
        <f t="shared" si="2"/>
        <v>SCANNER  JEWEL 4800 SCSI PRIMAX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 t="s">
        <v>311</v>
      </c>
      <c r="B211" s="5" t="s">
        <v>295</v>
      </c>
      <c r="C211" s="6">
        <v>458000.0</v>
      </c>
      <c r="D211" s="7">
        <f t="shared" si="1"/>
        <v>7633333.333</v>
      </c>
      <c r="E211" s="5" t="str">
        <f t="shared" si="2"/>
        <v>SCANNER PROFI  9600 SCSI PRIMAX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 t="s">
        <v>312</v>
      </c>
      <c r="B212" s="5" t="s">
        <v>295</v>
      </c>
      <c r="C212" s="6">
        <v>412000.0</v>
      </c>
      <c r="D212" s="7">
        <f t="shared" si="1"/>
        <v>6866666.667</v>
      </c>
      <c r="E212" s="5" t="str">
        <f t="shared" si="2"/>
        <v>SCANNER PHODOX U. S. 300 PRIMAX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 t="s">
        <v>313</v>
      </c>
      <c r="B213" s="5" t="s">
        <v>314</v>
      </c>
      <c r="C213" s="6">
        <v>807000.0</v>
      </c>
      <c r="D213" s="7">
        <f t="shared" si="1"/>
        <v>13450000</v>
      </c>
      <c r="E213" s="5" t="str">
        <f t="shared" si="2"/>
        <v>FILMSCAN-200PC EPSON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 t="s">
        <v>315</v>
      </c>
      <c r="B214" s="5"/>
      <c r="C214" s="6">
        <v>4000.0</v>
      </c>
      <c r="D214" s="7">
        <f t="shared" si="1"/>
        <v>66666.66667</v>
      </c>
      <c r="E214" s="5" t="str">
        <f t="shared" si="2"/>
        <v>TAPPETINO PER MOUSE 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 t="s">
        <v>316</v>
      </c>
      <c r="B215" s="5"/>
      <c r="C215" s="6">
        <v>81000.0</v>
      </c>
      <c r="D215" s="7">
        <f t="shared" si="1"/>
        <v>1350000</v>
      </c>
      <c r="E215" s="5" t="str">
        <f t="shared" si="2"/>
        <v>ALIMENTATORE 200 W CE 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 t="s">
        <v>317</v>
      </c>
      <c r="B216" s="5"/>
      <c r="C216" s="6">
        <v>125000.0</v>
      </c>
      <c r="D216" s="7">
        <f t="shared" si="1"/>
        <v>2083333.333</v>
      </c>
      <c r="E216" s="5" t="str">
        <f t="shared" si="2"/>
        <v>ALIMENTATORE 250 W CE ATX 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 t="s">
        <v>318</v>
      </c>
      <c r="B217" s="5"/>
      <c r="C217" s="6">
        <v>98000.0</v>
      </c>
      <c r="D217" s="7">
        <f t="shared" si="1"/>
        <v>1633333.333</v>
      </c>
      <c r="E217" s="5" t="str">
        <f t="shared" si="2"/>
        <v>ALIMENTATORE 230 W CE ATX 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 t="s">
        <v>319</v>
      </c>
      <c r="B218" s="5"/>
      <c r="C218" s="6">
        <v>140000.0</v>
      </c>
      <c r="D218" s="7">
        <f t="shared" si="1"/>
        <v>2333333.333</v>
      </c>
      <c r="E218" s="5" t="str">
        <f t="shared" si="2"/>
        <v>ALIMENTATORE 300 W CE ATX 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 t="s">
        <v>320</v>
      </c>
      <c r="B219" s="5" t="s">
        <v>321</v>
      </c>
      <c r="C219" s="6">
        <v>5000.0</v>
      </c>
      <c r="D219" s="7">
        <f t="shared" si="1"/>
        <v>83333.33333</v>
      </c>
      <c r="E219" s="5" t="str">
        <f t="shared" si="2"/>
        <v>CAVO PARALLELO STAMP. MT 1,8 Unidirez.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 t="s">
        <v>320</v>
      </c>
      <c r="B220" s="5" t="s">
        <v>322</v>
      </c>
      <c r="C220" s="6">
        <v>6000.0</v>
      </c>
      <c r="D220" s="7">
        <f t="shared" si="1"/>
        <v>100000</v>
      </c>
      <c r="E220" s="5" t="str">
        <f t="shared" si="2"/>
        <v>CAVO PARALLELO STAMP. MT 1,8 Bidirez.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 t="s">
        <v>323</v>
      </c>
      <c r="B221" s="5"/>
      <c r="C221" s="6">
        <v>9000.0</v>
      </c>
      <c r="D221" s="7">
        <f t="shared" si="1"/>
        <v>150000</v>
      </c>
      <c r="E221" s="5" t="str">
        <f t="shared" si="2"/>
        <v>CAVO PARALLELO STAMP. MT 3 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 t="s">
        <v>324</v>
      </c>
      <c r="B222" s="5" t="s">
        <v>325</v>
      </c>
      <c r="C222" s="6">
        <v>8000.0</v>
      </c>
      <c r="D222" s="7">
        <f t="shared" si="1"/>
        <v>133333.3333</v>
      </c>
      <c r="E222" s="5" t="str">
        <f t="shared" si="2"/>
        <v>CONNETTORE MOUSE PS/2 per M/B ASUS P55T2P4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 t="s">
        <v>326</v>
      </c>
      <c r="B223" s="5"/>
      <c r="C223" s="6">
        <v>11000.0</v>
      </c>
      <c r="D223" s="7">
        <f t="shared" si="1"/>
        <v>183333.3333</v>
      </c>
      <c r="E223" s="5" t="str">
        <f t="shared" si="2"/>
        <v>CONNETTORE TASTIERA PS/2 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 t="s">
        <v>327</v>
      </c>
      <c r="B224" s="5" t="s">
        <v>328</v>
      </c>
      <c r="C224" s="6">
        <v>21000.0</v>
      </c>
      <c r="D224" s="7">
        <f t="shared" si="1"/>
        <v>350000</v>
      </c>
      <c r="E224" s="5" t="str">
        <f t="shared" si="2"/>
        <v>CONNETTORE USB/MIR per M/B ASUS TX97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 t="s">
        <v>329</v>
      </c>
      <c r="B225" s="5" t="s">
        <v>295</v>
      </c>
      <c r="C225" s="6">
        <v>14000.0</v>
      </c>
      <c r="D225" s="7">
        <f t="shared" si="1"/>
        <v>233333.3333</v>
      </c>
      <c r="E225" s="5" t="str">
        <f t="shared" si="2"/>
        <v>DATA-SWITCH 2/1 MANUALE PRIMAX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 t="s">
        <v>330</v>
      </c>
      <c r="B226" s="5" t="s">
        <v>295</v>
      </c>
      <c r="C226" s="6">
        <v>23000.0</v>
      </c>
      <c r="D226" s="7">
        <f t="shared" si="1"/>
        <v>383333.3333</v>
      </c>
      <c r="E226" s="5" t="str">
        <f t="shared" si="2"/>
        <v>DATA-SWITCH 2/2 MANUALE PRIMAX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 t="s">
        <v>331</v>
      </c>
      <c r="B227" s="5" t="s">
        <v>295</v>
      </c>
      <c r="C227" s="6">
        <v>51000.0</v>
      </c>
      <c r="D227" s="7">
        <f t="shared" si="1"/>
        <v>850000</v>
      </c>
      <c r="E227" s="5" t="str">
        <f t="shared" si="2"/>
        <v>DATA-SWITCH 2/1 BIDIREZ. PRIMAX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 t="s">
        <v>332</v>
      </c>
      <c r="B228" s="5"/>
      <c r="C228" s="6"/>
      <c r="D228" s="7">
        <f t="shared" si="1"/>
        <v>0</v>
      </c>
      <c r="E228" s="5" t="str">
        <f t="shared" si="2"/>
        <v>SOFTWARE 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 t="s">
        <v>333</v>
      </c>
      <c r="B229" s="5" t="s">
        <v>334</v>
      </c>
      <c r="C229" s="6">
        <v>198000.0</v>
      </c>
      <c r="D229" s="7">
        <f t="shared" si="1"/>
        <v>3300000</v>
      </c>
      <c r="E229" s="5" t="str">
        <f t="shared" si="2"/>
        <v>COMBO DOS6.22+WIN3.11+DSK.MAN. MICROSOFT  OEM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 t="s">
        <v>335</v>
      </c>
      <c r="B230" s="5" t="s">
        <v>334</v>
      </c>
      <c r="C230" s="6">
        <v>167000.0</v>
      </c>
      <c r="D230" s="7">
        <f t="shared" si="1"/>
        <v>2783333.333</v>
      </c>
      <c r="E230" s="5" t="str">
        <f t="shared" si="2"/>
        <v>WINDOWS 95, MANUALI + CD MICROSOFT  OEM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 t="s">
        <v>336</v>
      </c>
      <c r="B231" s="5" t="s">
        <v>337</v>
      </c>
      <c r="C231" s="6">
        <v>95000.0</v>
      </c>
      <c r="D231" s="7">
        <f t="shared" si="1"/>
        <v>1583333.333</v>
      </c>
      <c r="E231" s="5" t="str">
        <f t="shared" si="2"/>
        <v>LICENZA STUDENTE SISTEMI  MICROSOFT  STUDENTE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 t="s">
        <v>338</v>
      </c>
      <c r="B232" s="5" t="s">
        <v>337</v>
      </c>
      <c r="C232" s="6">
        <v>141000.0</v>
      </c>
      <c r="D232" s="7">
        <f t="shared" si="1"/>
        <v>2350000</v>
      </c>
      <c r="E232" s="5" t="str">
        <f t="shared" si="2"/>
        <v>LICENZA STUDENTE APPLICAZIONI MICROSOFT  STUDENTE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 t="s">
        <v>339</v>
      </c>
      <c r="B233" s="5" t="s">
        <v>334</v>
      </c>
      <c r="C233" s="6">
        <v>351000.0</v>
      </c>
      <c r="D233" s="7">
        <f t="shared" si="1"/>
        <v>5850000</v>
      </c>
      <c r="E233" s="5" t="str">
        <f t="shared" si="2"/>
        <v>WIN NT WORKSTATION 4.0 MICROSOFT  OEM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 t="s">
        <v>340</v>
      </c>
      <c r="B234" s="5" t="s">
        <v>341</v>
      </c>
      <c r="C234" s="6">
        <v>414000.0</v>
      </c>
      <c r="D234" s="7">
        <f t="shared" si="1"/>
        <v>6900000</v>
      </c>
      <c r="E234" s="5" t="str">
        <f t="shared" si="2"/>
        <v>OFFICE SMALL BUSINESS WORD97,EXCEL97,OUTLOOK97,PUBLISHER97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 t="s">
        <v>342</v>
      </c>
      <c r="B235" s="5" t="s">
        <v>334</v>
      </c>
      <c r="C235" s="6">
        <v>61000.0</v>
      </c>
      <c r="D235" s="7">
        <f t="shared" si="1"/>
        <v>1016666.667</v>
      </c>
      <c r="E235" s="5" t="str">
        <f t="shared" si="2"/>
        <v>WORKS 4.5 ITA, MANUALI + CD MICROSOFT  OEM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 t="s">
        <v>343</v>
      </c>
      <c r="B236" s="5" t="s">
        <v>334</v>
      </c>
      <c r="C236" s="6">
        <v>893000.0</v>
      </c>
      <c r="D236" s="7">
        <f t="shared" si="1"/>
        <v>14883333.33</v>
      </c>
      <c r="E236" s="5" t="str">
        <f t="shared" si="2"/>
        <v>FIVE PACK WIN 95 MICROSOFT  OEM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 t="s">
        <v>344</v>
      </c>
      <c r="B237" s="5" t="s">
        <v>334</v>
      </c>
      <c r="C237" s="6">
        <v>985000.0</v>
      </c>
      <c r="D237" s="7">
        <f t="shared" si="1"/>
        <v>16416666.67</v>
      </c>
      <c r="E237" s="5" t="str">
        <f t="shared" si="2"/>
        <v>FIVE PACK COMBO WIN3.11-DOS MICROSOFT  OEM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 t="s">
        <v>345</v>
      </c>
      <c r="B238" s="5" t="s">
        <v>334</v>
      </c>
      <c r="C238" s="6">
        <v>296000.0</v>
      </c>
      <c r="D238" s="7">
        <f t="shared" si="1"/>
        <v>4933333.333</v>
      </c>
      <c r="E238" s="5" t="str">
        <f t="shared" si="2"/>
        <v>FIVE PACK WORKS 4.5 MICROSOFT  OEM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 t="s">
        <v>346</v>
      </c>
      <c r="B239" s="5" t="s">
        <v>334</v>
      </c>
      <c r="C239" s="6">
        <v>685000.0</v>
      </c>
      <c r="D239" s="7">
        <f t="shared" si="1"/>
        <v>11416666.67</v>
      </c>
      <c r="E239" s="5" t="str">
        <f t="shared" si="2"/>
        <v>3-PACK  HOME ESSENTIALS 98 MICROSOFT  OEM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 t="s">
        <v>347</v>
      </c>
      <c r="B240" s="5" t="s">
        <v>334</v>
      </c>
      <c r="C240" s="6">
        <v>1138000.0</v>
      </c>
      <c r="D240" s="7">
        <f t="shared" si="1"/>
        <v>18966666.67</v>
      </c>
      <c r="E240" s="5" t="str">
        <f t="shared" si="2"/>
        <v>3-PACK WIN NT WORKSTATION 4.0 MICROSOFT  OEM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 t="s">
        <v>348</v>
      </c>
      <c r="B241" s="5" t="s">
        <v>334</v>
      </c>
      <c r="C241" s="6">
        <v>1334000.0</v>
      </c>
      <c r="D241" s="7">
        <f t="shared" si="1"/>
        <v>22233333.33</v>
      </c>
      <c r="E241" s="5" t="str">
        <f t="shared" si="2"/>
        <v>3-PACK OFFICE SMALL BUSINESS MICROSOFT  OEM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 t="s">
        <v>349</v>
      </c>
      <c r="B242" s="5" t="s">
        <v>129</v>
      </c>
      <c r="C242" s="6">
        <v>30000.0</v>
      </c>
      <c r="D242" s="7">
        <f t="shared" si="1"/>
        <v>500000</v>
      </c>
      <c r="E242" s="5" t="str">
        <f t="shared" si="2"/>
        <v>CD VIDEOGUIDA  WIN'95  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 t="s">
        <v>350</v>
      </c>
      <c r="B243" s="5" t="s">
        <v>129</v>
      </c>
      <c r="C243" s="6">
        <v>30000.0</v>
      </c>
      <c r="D243" s="7">
        <f t="shared" si="1"/>
        <v>500000</v>
      </c>
      <c r="E243" s="5" t="str">
        <f t="shared" si="2"/>
        <v>CD VIDEGUIDA INTERNET  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 t="s">
        <v>351</v>
      </c>
      <c r="B244" s="5" t="s">
        <v>352</v>
      </c>
      <c r="C244" s="6">
        <v>406000.0</v>
      </c>
      <c r="D244" s="7">
        <f t="shared" si="1"/>
        <v>6766666.667</v>
      </c>
      <c r="E244" s="5" t="str">
        <f t="shared" si="2"/>
        <v>WINDOWS 95  MICROSOFT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 t="s">
        <v>353</v>
      </c>
      <c r="B245" s="5" t="s">
        <v>352</v>
      </c>
      <c r="C245" s="6">
        <v>197000.0</v>
      </c>
      <c r="D245" s="7">
        <f t="shared" si="1"/>
        <v>3283333.333</v>
      </c>
      <c r="E245" s="5" t="str">
        <f t="shared" si="2"/>
        <v>WINDOWS 95 Lic. Agg. MICROSOFT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 t="s">
        <v>354</v>
      </c>
      <c r="B246" s="5" t="s">
        <v>352</v>
      </c>
      <c r="C246" s="6">
        <v>645000.0</v>
      </c>
      <c r="D246" s="7">
        <f t="shared" si="1"/>
        <v>10750000</v>
      </c>
      <c r="E246" s="5" t="str">
        <f t="shared" si="2"/>
        <v>EXCEL 7.0 MICROSOFT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 t="s">
        <v>355</v>
      </c>
      <c r="B247" s="5" t="s">
        <v>352</v>
      </c>
      <c r="C247" s="6">
        <v>645000.0</v>
      </c>
      <c r="D247" s="7">
        <f t="shared" si="1"/>
        <v>10750000</v>
      </c>
      <c r="E247" s="5" t="str">
        <f t="shared" si="2"/>
        <v>EXCEL 97 MICROSOFT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 t="s">
        <v>356</v>
      </c>
      <c r="B248" s="5" t="s">
        <v>352</v>
      </c>
      <c r="C248" s="6">
        <v>259000.0</v>
      </c>
      <c r="D248" s="7">
        <f t="shared" si="1"/>
        <v>4316666.667</v>
      </c>
      <c r="E248" s="5" t="str">
        <f t="shared" si="2"/>
        <v>EXCEL 97 Agg. MICROSOFT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 t="s">
        <v>357</v>
      </c>
      <c r="B249" s="5" t="s">
        <v>352</v>
      </c>
      <c r="C249" s="6">
        <v>646000.0</v>
      </c>
      <c r="D249" s="7">
        <f t="shared" si="1"/>
        <v>10766666.67</v>
      </c>
      <c r="E249" s="5" t="str">
        <f t="shared" si="2"/>
        <v>WORD 97 MICROSOFT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 t="s">
        <v>358</v>
      </c>
      <c r="B250" s="5" t="s">
        <v>352</v>
      </c>
      <c r="C250" s="6">
        <v>259000.0</v>
      </c>
      <c r="D250" s="7">
        <f t="shared" si="1"/>
        <v>4316666.667</v>
      </c>
      <c r="E250" s="5" t="str">
        <f t="shared" si="2"/>
        <v>WORD 97 Agg. MICROSOFT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 t="s">
        <v>359</v>
      </c>
      <c r="B251" s="5" t="s">
        <v>352</v>
      </c>
      <c r="C251" s="6">
        <v>645000.0</v>
      </c>
      <c r="D251" s="7">
        <f t="shared" si="1"/>
        <v>10750000</v>
      </c>
      <c r="E251" s="5" t="str">
        <f t="shared" si="2"/>
        <v>ACCESS 97 MICROSOFT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 t="s">
        <v>360</v>
      </c>
      <c r="B252" s="5" t="s">
        <v>352</v>
      </c>
      <c r="C252" s="6">
        <v>879000.0</v>
      </c>
      <c r="D252" s="7">
        <f t="shared" si="1"/>
        <v>14650000</v>
      </c>
      <c r="E252" s="5" t="str">
        <f t="shared" si="2"/>
        <v>OFFICE 97 SMALL BUSINESS MICROSOFT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 t="s">
        <v>361</v>
      </c>
      <c r="B253" s="5" t="s">
        <v>352</v>
      </c>
      <c r="C253" s="6">
        <v>259000.0</v>
      </c>
      <c r="D253" s="7">
        <f t="shared" si="1"/>
        <v>4316666.667</v>
      </c>
      <c r="E253" s="5" t="str">
        <f t="shared" si="2"/>
        <v>HOME ESSENTIALS 98 MICROSOFT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 t="s">
        <v>362</v>
      </c>
      <c r="B254" s="5" t="s">
        <v>352</v>
      </c>
      <c r="C254" s="6">
        <v>274000.0</v>
      </c>
      <c r="D254" s="7">
        <f t="shared" si="1"/>
        <v>4566666.667</v>
      </c>
      <c r="E254" s="5" t="str">
        <f t="shared" si="2"/>
        <v>FRONTPAGE 98 MICROSOFT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 t="s">
        <v>363</v>
      </c>
      <c r="B255" s="5" t="s">
        <v>352</v>
      </c>
      <c r="C255" s="6">
        <v>975000.0</v>
      </c>
      <c r="D255" s="7">
        <f t="shared" si="1"/>
        <v>16250000</v>
      </c>
      <c r="E255" s="5" t="str">
        <f t="shared" si="2"/>
        <v>OFFICE '97 MICROSOFT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 t="s">
        <v>364</v>
      </c>
      <c r="B256" s="5" t="s">
        <v>352</v>
      </c>
      <c r="C256" s="6">
        <v>480000.0</v>
      </c>
      <c r="D256" s="7">
        <f t="shared" si="1"/>
        <v>8000000</v>
      </c>
      <c r="E256" s="5" t="str">
        <f t="shared" si="2"/>
        <v>OFFICE '97 Agg. MICROSOFT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 t="s">
        <v>365</v>
      </c>
      <c r="B257" s="5" t="s">
        <v>352</v>
      </c>
      <c r="C257" s="6">
        <v>1187000.0</v>
      </c>
      <c r="D257" s="7">
        <f t="shared" si="1"/>
        <v>19783333.33</v>
      </c>
      <c r="E257" s="5" t="str">
        <f t="shared" si="2"/>
        <v>OFFICE '97 Professional MICROSOFT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 t="s">
        <v>366</v>
      </c>
      <c r="B258" s="5" t="s">
        <v>352</v>
      </c>
      <c r="C258" s="6">
        <v>832000.0</v>
      </c>
      <c r="D258" s="7">
        <f t="shared" si="1"/>
        <v>13866666.67</v>
      </c>
      <c r="E258" s="5" t="str">
        <f t="shared" si="2"/>
        <v>OFFICE '97 Professional Agg. MICROSOFT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 t="s">
        <v>367</v>
      </c>
      <c r="B259" s="5" t="s">
        <v>352</v>
      </c>
      <c r="C259" s="6">
        <v>227000.0</v>
      </c>
      <c r="D259" s="7">
        <f t="shared" si="1"/>
        <v>3783333.333</v>
      </c>
      <c r="E259" s="5" t="str">
        <f t="shared" si="2"/>
        <v>VISUAL BASIC 4.0 STD MICROSOFT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 t="s">
        <v>368</v>
      </c>
      <c r="B260" s="5" t="s">
        <v>352</v>
      </c>
      <c r="C260" s="6">
        <v>98000.0</v>
      </c>
      <c r="D260" s="7">
        <f t="shared" si="1"/>
        <v>1633333.333</v>
      </c>
      <c r="E260" s="5" t="str">
        <f t="shared" si="2"/>
        <v>VISUAL BASIC 4.0 Agg. MICROSOFT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 t="s">
        <v>369</v>
      </c>
      <c r="B261" s="5" t="s">
        <v>352</v>
      </c>
      <c r="C261" s="6">
        <v>1190000.0</v>
      </c>
      <c r="D261" s="7">
        <f t="shared" si="1"/>
        <v>19833333.33</v>
      </c>
      <c r="E261" s="5" t="str">
        <f t="shared" si="2"/>
        <v>VISUAL BASIC 4.0 PROFESSIONAL MICROSOFT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 t="s">
        <v>370</v>
      </c>
      <c r="B262" s="5" t="s">
        <v>352</v>
      </c>
      <c r="C262" s="6">
        <v>300000.0</v>
      </c>
      <c r="D262" s="7">
        <f t="shared" si="1"/>
        <v>5000000</v>
      </c>
      <c r="E262" s="5" t="str">
        <f t="shared" si="2"/>
        <v>VISUAL BASIC 4.0 PROF. Agg. MICROSOFT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 t="s">
        <v>371</v>
      </c>
      <c r="B263" s="5" t="s">
        <v>352</v>
      </c>
      <c r="C263" s="6">
        <v>2407000.0</v>
      </c>
      <c r="D263" s="7">
        <f t="shared" si="1"/>
        <v>40116666.67</v>
      </c>
      <c r="E263" s="5" t="str">
        <f t="shared" si="2"/>
        <v>VISUAL BASIC 4.0 ENTERPRICE MICROSOFT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 t="s">
        <v>372</v>
      </c>
      <c r="B264" s="5" t="s">
        <v>352</v>
      </c>
      <c r="C264" s="6">
        <v>1021000.0</v>
      </c>
      <c r="D264" s="7">
        <f t="shared" si="1"/>
        <v>17016666.67</v>
      </c>
      <c r="E264" s="5" t="str">
        <f t="shared" si="2"/>
        <v>VISUAL BASIC 4.0 ENTERPRICE Agg. MICROSOFT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 t="s">
        <v>373</v>
      </c>
      <c r="B265" s="5" t="s">
        <v>352</v>
      </c>
      <c r="C265" s="6">
        <v>646000.0</v>
      </c>
      <c r="D265" s="7">
        <f t="shared" si="1"/>
        <v>10766666.67</v>
      </c>
      <c r="E265" s="5" t="str">
        <f t="shared" si="2"/>
        <v>POWERPOINT 97 MICROSOFT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 t="s">
        <v>374</v>
      </c>
      <c r="B266" s="5" t="s">
        <v>352</v>
      </c>
      <c r="C266" s="6">
        <v>259000.0</v>
      </c>
      <c r="D266" s="7">
        <f t="shared" si="1"/>
        <v>4316666.667</v>
      </c>
      <c r="E266" s="5" t="str">
        <f t="shared" si="2"/>
        <v>POWERPOINT 97 Agg. MICROSOFT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 t="s">
        <v>375</v>
      </c>
      <c r="B267" s="5" t="s">
        <v>352</v>
      </c>
      <c r="C267" s="6">
        <v>193000.0</v>
      </c>
      <c r="D267" s="7">
        <f t="shared" si="1"/>
        <v>3216666.667</v>
      </c>
      <c r="E267" s="5" t="str">
        <f t="shared" si="2"/>
        <v>PUBLISHER 3.0 MICROSOFT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 t="s">
        <v>376</v>
      </c>
      <c r="B268" s="5" t="s">
        <v>352</v>
      </c>
      <c r="C268" s="6">
        <v>96000.0</v>
      </c>
      <c r="D268" s="7">
        <f t="shared" si="1"/>
        <v>1600000</v>
      </c>
      <c r="E268" s="5" t="str">
        <f t="shared" si="2"/>
        <v>PUBLISHER 3.0 Agg. MICROSOFT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 t="s">
        <v>377</v>
      </c>
      <c r="B269" s="5" t="s">
        <v>352</v>
      </c>
      <c r="C269" s="6">
        <v>594000.0</v>
      </c>
      <c r="D269" s="7">
        <f t="shared" si="1"/>
        <v>9900000</v>
      </c>
      <c r="E269" s="5" t="str">
        <f t="shared" si="2"/>
        <v>WINDOWS NT 4.0 WORKSTATION MICROSOFT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 t="s">
        <v>378</v>
      </c>
      <c r="B270" s="5" t="s">
        <v>352</v>
      </c>
      <c r="C270" s="6">
        <v>282000.0</v>
      </c>
      <c r="D270" s="7">
        <f t="shared" si="1"/>
        <v>4700000</v>
      </c>
      <c r="E270" s="5" t="str">
        <f t="shared" si="2"/>
        <v>WINDOWS NT 4.0 Agg. WORKSTATION MICROSOFT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 t="s">
        <v>379</v>
      </c>
      <c r="B271" s="5" t="s">
        <v>352</v>
      </c>
      <c r="C271" s="6">
        <v>1814000.0</v>
      </c>
      <c r="D271" s="7">
        <f t="shared" si="1"/>
        <v>30233333.33</v>
      </c>
      <c r="E271" s="5" t="str">
        <f t="shared" si="2"/>
        <v>WINDOWS NT 4.0 SERVER 5 client MICROSOFT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 t="s">
        <v>380</v>
      </c>
      <c r="B272" s="5" t="s">
        <v>352</v>
      </c>
      <c r="C272" s="6">
        <v>193000.0</v>
      </c>
      <c r="D272" s="7">
        <f t="shared" si="1"/>
        <v>3216666.667</v>
      </c>
      <c r="E272" s="5" t="str">
        <f t="shared" si="2"/>
        <v>WINDOWS 3.1 MICROSOFT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 t="s">
        <v>381</v>
      </c>
      <c r="B273" s="5" t="s">
        <v>352</v>
      </c>
      <c r="C273" s="6">
        <v>654000.0</v>
      </c>
      <c r="D273" s="7">
        <f t="shared" si="1"/>
        <v>10900000</v>
      </c>
      <c r="E273" s="5" t="str">
        <f t="shared" si="2"/>
        <v>POWERPOINT 4.0 MICROSOFT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 t="s">
        <v>382</v>
      </c>
      <c r="B274" s="5" t="s">
        <v>352</v>
      </c>
      <c r="C274" s="6">
        <v>729000.0</v>
      </c>
      <c r="D274" s="7">
        <f t="shared" si="1"/>
        <v>12150000</v>
      </c>
      <c r="E274" s="5" t="str">
        <f t="shared" si="2"/>
        <v>EXCEL 5.0 MICROSOFT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 t="s">
        <v>383</v>
      </c>
      <c r="B275" s="5" t="s">
        <v>352</v>
      </c>
      <c r="C275" s="6">
        <v>632000.0</v>
      </c>
      <c r="D275" s="7">
        <f t="shared" si="1"/>
        <v>10533333.33</v>
      </c>
      <c r="E275" s="5" t="str">
        <f t="shared" si="2"/>
        <v>ACCESS 2.0 MICROSOFT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 t="s">
        <v>384</v>
      </c>
      <c r="B276" s="5" t="s">
        <v>352</v>
      </c>
      <c r="C276" s="6">
        <v>240000.0</v>
      </c>
      <c r="D276" s="7">
        <f t="shared" si="1"/>
        <v>4000000</v>
      </c>
      <c r="E276" s="5" t="str">
        <f t="shared" si="2"/>
        <v>ACCESS 2.0 Competitivo MICROSOFT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 t="s">
        <v>385</v>
      </c>
      <c r="B277" s="5" t="s">
        <v>386</v>
      </c>
      <c r="C277" s="6">
        <v>955000.0</v>
      </c>
      <c r="D277" s="7">
        <f t="shared" si="1"/>
        <v>15916666.67</v>
      </c>
      <c r="E277" s="5" t="str">
        <f t="shared" si="2"/>
        <v>OFFICE 4.2 MICROSOFT 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 t="s">
        <v>387</v>
      </c>
      <c r="B278" s="5" t="s">
        <v>386</v>
      </c>
      <c r="C278" s="6">
        <v>1126000.0</v>
      </c>
      <c r="D278" s="7">
        <f t="shared" si="1"/>
        <v>18766666.67</v>
      </c>
      <c r="E278" s="5" t="str">
        <f t="shared" si="2"/>
        <v>OFFICE 4.3 PROFESSIONAL MICROSOFT 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 t="s">
        <v>388</v>
      </c>
      <c r="B279" s="5"/>
      <c r="C279" s="6"/>
      <c r="D279" s="7">
        <f t="shared" si="1"/>
        <v>0</v>
      </c>
      <c r="E279" s="5" t="str">
        <f t="shared" si="2"/>
        <v>STAMPANTI 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 t="s">
        <v>389</v>
      </c>
      <c r="B280" s="5" t="s">
        <v>390</v>
      </c>
      <c r="C280" s="6">
        <v>297000.0</v>
      </c>
      <c r="D280" s="7">
        <f t="shared" si="1"/>
        <v>4950000</v>
      </c>
      <c r="E280" s="5" t="str">
        <f t="shared" si="2"/>
        <v>STAMP.EPSON LX300 9 aghi, 80 col. 220 cps. opz. colore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 t="s">
        <v>391</v>
      </c>
      <c r="B281" s="5" t="s">
        <v>392</v>
      </c>
      <c r="C281" s="6">
        <v>646000.0</v>
      </c>
      <c r="D281" s="7">
        <f t="shared" si="1"/>
        <v>10766666.67</v>
      </c>
      <c r="E281" s="5" t="str">
        <f t="shared" si="2"/>
        <v>STAMP.EPSON LX1050+ 9 aghi, 136 col. 200 cps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 t="s">
        <v>393</v>
      </c>
      <c r="B282" s="5" t="s">
        <v>394</v>
      </c>
      <c r="C282" s="6">
        <v>714000.0</v>
      </c>
      <c r="D282" s="7">
        <f t="shared" si="1"/>
        <v>11900000</v>
      </c>
      <c r="E282" s="5" t="str">
        <f t="shared" si="2"/>
        <v>STAMP.EPSON FX870 9 aghi, 80 col. 380 cps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 t="s">
        <v>395</v>
      </c>
      <c r="B283" s="5" t="s">
        <v>396</v>
      </c>
      <c r="C283" s="6">
        <v>807000.0</v>
      </c>
      <c r="D283" s="7">
        <f t="shared" si="1"/>
        <v>13450000</v>
      </c>
      <c r="E283" s="5" t="str">
        <f t="shared" si="2"/>
        <v>STAMP.EPSON FX1170 9 aghi, 136 col.380 cps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 t="s">
        <v>397</v>
      </c>
      <c r="B284" s="5" t="s">
        <v>398</v>
      </c>
      <c r="C284" s="6">
        <v>591000.0</v>
      </c>
      <c r="D284" s="7">
        <f t="shared" si="1"/>
        <v>9850000</v>
      </c>
      <c r="E284" s="5" t="str">
        <f t="shared" si="2"/>
        <v>STAMP.EPSON LQ570+ 24 aghi, 80 col. 225 cps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 t="s">
        <v>399</v>
      </c>
      <c r="B285" s="5" t="s">
        <v>400</v>
      </c>
      <c r="C285" s="6">
        <v>918000.0</v>
      </c>
      <c r="D285" s="7">
        <f t="shared" si="1"/>
        <v>15300000</v>
      </c>
      <c r="E285" s="5" t="str">
        <f t="shared" si="2"/>
        <v>STAMP.EPSON LQ2070+ 24 aghi, 136 col. 225 cps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 t="s">
        <v>401</v>
      </c>
      <c r="B286" s="5" t="s">
        <v>402</v>
      </c>
      <c r="C286" s="6">
        <v>1265000.0</v>
      </c>
      <c r="D286" s="7">
        <f t="shared" si="1"/>
        <v>21083333.33</v>
      </c>
      <c r="E286" s="5" t="str">
        <f t="shared" si="2"/>
        <v>STAMP.EPSON LQ 2170 24 aghi, 136 col. 440 cps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 t="s">
        <v>403</v>
      </c>
      <c r="B287" s="5" t="s">
        <v>404</v>
      </c>
      <c r="C287" s="6">
        <v>256000.0</v>
      </c>
      <c r="D287" s="7">
        <f t="shared" si="1"/>
        <v>4266666.667</v>
      </c>
      <c r="E287" s="5" t="str">
        <f t="shared" si="2"/>
        <v>STAMP.EPSON STYLUS 300COLOR Ink Jet A4,1ppm col.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 t="s">
        <v>405</v>
      </c>
      <c r="B288" s="5" t="s">
        <v>406</v>
      </c>
      <c r="C288" s="6">
        <v>371000.0</v>
      </c>
      <c r="D288" s="7">
        <f t="shared" si="1"/>
        <v>6183333.333</v>
      </c>
      <c r="E288" s="5" t="str">
        <f t="shared" si="2"/>
        <v>STAMP.EPSON STYLUS 400COLOR Ink Jet A4,3ppm col.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 t="s">
        <v>407</v>
      </c>
      <c r="B289" s="5" t="s">
        <v>408</v>
      </c>
      <c r="C289" s="6">
        <v>457000.0</v>
      </c>
      <c r="D289" s="7">
        <f t="shared" si="1"/>
        <v>7616666.667</v>
      </c>
      <c r="E289" s="5" t="str">
        <f t="shared" si="2"/>
        <v>STAMP.EPSON STYLUS 600COLOR Ink Jet A4,4ppm col.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 t="s">
        <v>409</v>
      </c>
      <c r="B290" s="5" t="s">
        <v>410</v>
      </c>
      <c r="C290" s="6">
        <v>642000.0</v>
      </c>
      <c r="D290" s="7">
        <f t="shared" si="1"/>
        <v>10700000</v>
      </c>
      <c r="E290" s="5" t="str">
        <f t="shared" si="2"/>
        <v>STAMP.EPSON STYLUS 800COLOR Ink Jet A4,7ppm col.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 t="s">
        <v>411</v>
      </c>
      <c r="B291" s="5" t="s">
        <v>412</v>
      </c>
      <c r="C291" s="6">
        <v>1571000.0</v>
      </c>
      <c r="D291" s="7">
        <f t="shared" si="1"/>
        <v>26183333.33</v>
      </c>
      <c r="E291" s="5" t="str">
        <f t="shared" si="2"/>
        <v>STAMP.EPSON STYLUS 1520COLOR Ink Jet A2,800cps draft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 t="s">
        <v>413</v>
      </c>
      <c r="B292" s="5" t="s">
        <v>414</v>
      </c>
      <c r="C292" s="6">
        <v>756000.0</v>
      </c>
      <c r="D292" s="7">
        <f t="shared" si="1"/>
        <v>12600000</v>
      </c>
      <c r="E292" s="5" t="str">
        <f t="shared" si="2"/>
        <v>STAMP.EPSON STYLUS 1000 Ink Jet A3,250cps draft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 t="s">
        <v>415</v>
      </c>
      <c r="B293" s="5" t="s">
        <v>416</v>
      </c>
      <c r="C293" s="6">
        <v>1571000.0</v>
      </c>
      <c r="D293" s="7">
        <f t="shared" si="1"/>
        <v>26183333.33</v>
      </c>
      <c r="E293" s="5" t="str">
        <f t="shared" si="2"/>
        <v>STAMP.EPSON STYLUS PRO XL+ Ink Jet A4/A3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 t="s">
        <v>417</v>
      </c>
      <c r="B294" s="5" t="s">
        <v>418</v>
      </c>
      <c r="C294" s="6">
        <v>2716000.0</v>
      </c>
      <c r="D294" s="7">
        <f t="shared" si="1"/>
        <v>45266666.67</v>
      </c>
      <c r="E294" s="5" t="str">
        <f t="shared" si="2"/>
        <v>STAMP.EPSON STYLUS  3000 Ink Jet A2 800cpc 1440*720 dpi 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 t="s">
        <v>419</v>
      </c>
      <c r="B295" s="5" t="s">
        <v>420</v>
      </c>
      <c r="C295" s="6">
        <v>640000.0</v>
      </c>
      <c r="D295" s="7">
        <f t="shared" si="1"/>
        <v>10666666.67</v>
      </c>
      <c r="E295" s="5" t="str">
        <f t="shared" si="2"/>
        <v>STAMP.EPSON STYLUS PHOTO Ink Jet A4 6 colori 2ppm 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 t="s">
        <v>421</v>
      </c>
      <c r="B296" s="5" t="s">
        <v>422</v>
      </c>
      <c r="C296" s="6">
        <v>255000.0</v>
      </c>
      <c r="D296" s="7">
        <f t="shared" si="1"/>
        <v>4250000</v>
      </c>
      <c r="E296" s="5" t="str">
        <f t="shared" si="2"/>
        <v>STAMP. CANON BJ-250 COLOR Ink Jet A4, 1ppm col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 t="s">
        <v>423</v>
      </c>
      <c r="B297" s="5" t="s">
        <v>424</v>
      </c>
      <c r="C297" s="6">
        <v>413000.0</v>
      </c>
      <c r="D297" s="7">
        <f t="shared" si="1"/>
        <v>6883333.333</v>
      </c>
      <c r="E297" s="5" t="str">
        <f t="shared" si="2"/>
        <v>STAMP. CANON BJC-80 COLOR Ink jet A4, 2ppm col.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 t="s">
        <v>425</v>
      </c>
      <c r="B298" s="5" t="s">
        <v>426</v>
      </c>
      <c r="C298" s="6">
        <v>361000.0</v>
      </c>
      <c r="D298" s="7">
        <f t="shared" si="1"/>
        <v>6016666.667</v>
      </c>
      <c r="E298" s="5" t="str">
        <f t="shared" si="2"/>
        <v>STAMP. CANON BJC-4300 COLOR Ink Jet A4, 1ppm col.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 t="s">
        <v>427</v>
      </c>
      <c r="B299" s="5" t="s">
        <v>428</v>
      </c>
      <c r="C299" s="6">
        <v>544000.0</v>
      </c>
      <c r="D299" s="7">
        <f t="shared" si="1"/>
        <v>9066666.667</v>
      </c>
      <c r="E299" s="5" t="str">
        <f t="shared" si="2"/>
        <v>STAMP. CANON BJC-4550 COLOR Ink Jet A4/A3, 1 ppm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 t="s">
        <v>429</v>
      </c>
      <c r="B300" s="5" t="s">
        <v>430</v>
      </c>
      <c r="C300" s="6">
        <v>678000.0</v>
      </c>
      <c r="D300" s="7">
        <f t="shared" si="1"/>
        <v>11300000</v>
      </c>
      <c r="E300" s="5" t="str">
        <f t="shared" si="2"/>
        <v>STAMP. CANON BJC-4650 COLOR Ink Jet A4/A3, 4,5 ppm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 t="s">
        <v>431</v>
      </c>
      <c r="B301" s="5" t="s">
        <v>432</v>
      </c>
      <c r="C301" s="6">
        <v>1054000.0</v>
      </c>
      <c r="D301" s="7">
        <f t="shared" si="1"/>
        <v>17566666.67</v>
      </c>
      <c r="E301" s="5" t="str">
        <f t="shared" si="2"/>
        <v>STAMP. CANON BJC-5500 COLOR Ink Jet A3/A2 694cps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 t="s">
        <v>433</v>
      </c>
      <c r="B302" s="5" t="s">
        <v>434</v>
      </c>
      <c r="C302" s="6">
        <v>482000.0</v>
      </c>
      <c r="D302" s="7">
        <f t="shared" si="1"/>
        <v>8033333.333</v>
      </c>
      <c r="E302" s="5" t="str">
        <f t="shared" si="2"/>
        <v>STAMP. CANON BJC-620 COLOR Ink Jet A4, 300cps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 t="s">
        <v>435</v>
      </c>
      <c r="B303" s="5" t="s">
        <v>436</v>
      </c>
      <c r="C303" s="6">
        <v>722000.0</v>
      </c>
      <c r="D303" s="7">
        <f t="shared" si="1"/>
        <v>12033333.33</v>
      </c>
      <c r="E303" s="5" t="str">
        <f t="shared" si="2"/>
        <v>STAMP. CANON BJC-7000 COLOR Ink Jet A4,4,5ppm, 1200x600dpi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 t="s">
        <v>437</v>
      </c>
      <c r="B304" s="5" t="s">
        <v>438</v>
      </c>
      <c r="C304" s="6">
        <v>269000.0</v>
      </c>
      <c r="D304" s="7">
        <f t="shared" si="1"/>
        <v>4483333.333</v>
      </c>
      <c r="E304" s="5" t="str">
        <f t="shared" si="2"/>
        <v>STAMP. HP 400L Ink Jet A4, 3 ppm col.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 t="s">
        <v>439</v>
      </c>
      <c r="B305" s="5" t="s">
        <v>438</v>
      </c>
      <c r="C305" s="6">
        <v>371000.0</v>
      </c>
      <c r="D305" s="7">
        <f t="shared" si="1"/>
        <v>6183333.333</v>
      </c>
      <c r="E305" s="5" t="str">
        <f t="shared" si="2"/>
        <v>STAMP. HP 670 Ink Jet A4, 3 ppm col.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 t="s">
        <v>440</v>
      </c>
      <c r="B306" s="5" t="s">
        <v>441</v>
      </c>
      <c r="C306" s="6">
        <v>462000.0</v>
      </c>
      <c r="D306" s="7">
        <f t="shared" si="1"/>
        <v>7700000</v>
      </c>
      <c r="E306" s="5" t="str">
        <f t="shared" si="2"/>
        <v>STAMP. HP 690+ Ink Jet A4,  5 ppm col.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 t="s">
        <v>442</v>
      </c>
      <c r="B307" s="5" t="s">
        <v>443</v>
      </c>
      <c r="C307" s="6">
        <v>541000.0</v>
      </c>
      <c r="D307" s="7">
        <f t="shared" si="1"/>
        <v>9016666.667</v>
      </c>
      <c r="E307" s="5" t="str">
        <f t="shared" si="2"/>
        <v>STAMP. HP 720C Ink Jet A4,  7 ppm col.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 t="s">
        <v>444</v>
      </c>
      <c r="B308" s="5" t="s">
        <v>445</v>
      </c>
      <c r="C308" s="6">
        <v>648000.0</v>
      </c>
      <c r="D308" s="7">
        <f t="shared" si="1"/>
        <v>10800000</v>
      </c>
      <c r="E308" s="5" t="str">
        <f t="shared" si="2"/>
        <v>STAMP. HP 870 CXI Ink Jet A4,  8 ppm col.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 t="s">
        <v>446</v>
      </c>
      <c r="B309" s="5" t="s">
        <v>447</v>
      </c>
      <c r="C309" s="6">
        <v>644000.0</v>
      </c>
      <c r="D309" s="7">
        <f t="shared" si="1"/>
        <v>10733333.33</v>
      </c>
      <c r="E309" s="5" t="str">
        <f t="shared" si="2"/>
        <v>STAMP. HP 890C Ink Jet A4,  9 ppm col.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 t="s">
        <v>448</v>
      </c>
      <c r="B310" s="5" t="s">
        <v>449</v>
      </c>
      <c r="C310" s="6">
        <v>902000.0</v>
      </c>
      <c r="D310" s="7">
        <f t="shared" si="1"/>
        <v>15033333.33</v>
      </c>
      <c r="E310" s="5" t="str">
        <f t="shared" si="2"/>
        <v>STAMP. HP 1100C Ink Jet A3/A4,  6 ppm col., 2Mb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 t="s">
        <v>450</v>
      </c>
      <c r="B311" s="5" t="s">
        <v>451</v>
      </c>
      <c r="C311" s="6">
        <v>722000.0</v>
      </c>
      <c r="D311" s="7">
        <f t="shared" si="1"/>
        <v>12033333.33</v>
      </c>
      <c r="E311" s="5" t="str">
        <f t="shared" si="2"/>
        <v>STAMP. HP 6L Laser, A4 600dpi, 6ppm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 t="s">
        <v>452</v>
      </c>
      <c r="B312" s="5" t="s">
        <v>451</v>
      </c>
      <c r="C312" s="6">
        <v>1457000.0</v>
      </c>
      <c r="D312" s="7">
        <f t="shared" si="1"/>
        <v>24283333.33</v>
      </c>
      <c r="E312" s="5" t="str">
        <f t="shared" si="2"/>
        <v>STAMP. HP 6P Laser, A4 600dpi, 6ppm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 t="s">
        <v>453</v>
      </c>
      <c r="B313" s="5" t="s">
        <v>454</v>
      </c>
      <c r="C313" s="6">
        <v>1786000.0</v>
      </c>
      <c r="D313" s="7">
        <f t="shared" si="1"/>
        <v>29766666.67</v>
      </c>
      <c r="E313" s="5" t="str">
        <f t="shared" si="2"/>
        <v>STAMP. HP 6MP Laser, A4 600dpi, 8ppm, 3Mb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 t="s">
        <v>455</v>
      </c>
      <c r="B314" s="5"/>
      <c r="C314" s="6"/>
      <c r="D314" s="7">
        <f t="shared" si="1"/>
        <v>0</v>
      </c>
      <c r="E314" s="5" t="str">
        <f t="shared" si="2"/>
        <v>CABINATI  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 t="s">
        <v>456</v>
      </c>
      <c r="B315" s="5" t="s">
        <v>457</v>
      </c>
      <c r="C315" s="6">
        <v>85000.0</v>
      </c>
      <c r="D315" s="7">
        <f t="shared" si="1"/>
        <v>1416666.667</v>
      </c>
      <c r="E315" s="5" t="str">
        <f t="shared" si="2"/>
        <v>CASE DESKTOP   CE CK 131-6 P/S 200W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 t="s">
        <v>458</v>
      </c>
      <c r="B316" s="5" t="s">
        <v>457</v>
      </c>
      <c r="C316" s="6">
        <v>84000.0</v>
      </c>
      <c r="D316" s="7">
        <f t="shared" si="1"/>
        <v>1400000</v>
      </c>
      <c r="E316" s="5" t="str">
        <f t="shared" si="2"/>
        <v>CASE MINITOWER CE CK 136-1 P/S 200W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 t="s">
        <v>459</v>
      </c>
      <c r="B317" s="5" t="s">
        <v>460</v>
      </c>
      <c r="C317" s="6">
        <v>115000.0</v>
      </c>
      <c r="D317" s="7">
        <f t="shared" si="1"/>
        <v>1916666.667</v>
      </c>
      <c r="E317" s="5" t="str">
        <f t="shared" si="2"/>
        <v>CASE MIDITOWER CE CK 135-1 P/S 230W 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 t="s">
        <v>461</v>
      </c>
      <c r="B318" s="5" t="s">
        <v>460</v>
      </c>
      <c r="C318" s="6">
        <v>152000.0</v>
      </c>
      <c r="D318" s="7">
        <f t="shared" si="1"/>
        <v>2533333.333</v>
      </c>
      <c r="E318" s="5" t="str">
        <f t="shared" si="2"/>
        <v>CASE BIG TOWER CE   CK139-1 P/S 230W 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 t="s">
        <v>462</v>
      </c>
      <c r="B319" s="5" t="s">
        <v>457</v>
      </c>
      <c r="C319" s="6">
        <v>82000.0</v>
      </c>
      <c r="D319" s="7">
        <f t="shared" si="1"/>
        <v>1366666.667</v>
      </c>
      <c r="E319" s="5" t="str">
        <f t="shared" si="2"/>
        <v>CASE DESKTOP CE CK 131-8 P/S 200W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 t="s">
        <v>463</v>
      </c>
      <c r="B320" s="5" t="s">
        <v>457</v>
      </c>
      <c r="C320" s="6">
        <v>84000.0</v>
      </c>
      <c r="D320" s="7">
        <f t="shared" si="1"/>
        <v>1400000</v>
      </c>
      <c r="E320" s="5" t="str">
        <f t="shared" si="2"/>
        <v>CASE SUB-MIDITOWER CE  CK 132-3 P/S 200W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 t="s">
        <v>464</v>
      </c>
      <c r="B321" s="5" t="s">
        <v>465</v>
      </c>
      <c r="C321" s="6">
        <v>115000.0</v>
      </c>
      <c r="D321" s="7">
        <f t="shared" si="1"/>
        <v>1916666.667</v>
      </c>
      <c r="E321" s="5" t="str">
        <f t="shared" si="2"/>
        <v>CASE  MIDITOWER CE  CK 135-2 P/S 230W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 t="s">
        <v>466</v>
      </c>
      <c r="B322" s="5" t="s">
        <v>465</v>
      </c>
      <c r="C322" s="6">
        <v>153000.0</v>
      </c>
      <c r="D322" s="7">
        <f t="shared" si="1"/>
        <v>2550000</v>
      </c>
      <c r="E322" s="5" t="str">
        <f t="shared" si="2"/>
        <v>CASE TOWER CE CK 139-2 P/S 230W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 t="s">
        <v>467</v>
      </c>
      <c r="B323" s="5" t="s">
        <v>465</v>
      </c>
      <c r="C323" s="6">
        <v>80000.0</v>
      </c>
      <c r="D323" s="7">
        <f t="shared" si="1"/>
        <v>1333333.333</v>
      </c>
      <c r="E323" s="5" t="str">
        <f t="shared" si="2"/>
        <v>CASE MIDITOWER BC VIP 432 P/S 230W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 t="s">
        <v>468</v>
      </c>
      <c r="B324" s="5" t="s">
        <v>465</v>
      </c>
      <c r="C324" s="6">
        <v>102000.0</v>
      </c>
      <c r="D324" s="7">
        <f t="shared" si="1"/>
        <v>1700000</v>
      </c>
      <c r="E324" s="5" t="str">
        <f t="shared" si="2"/>
        <v>CASE TOWER BC VIP 730 P/S 230W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 t="s">
        <v>469</v>
      </c>
      <c r="B325" s="5"/>
      <c r="C325" s="6"/>
      <c r="D325" s="7">
        <f t="shared" si="1"/>
        <v>0</v>
      </c>
      <c r="E325" s="5" t="str">
        <f t="shared" si="2"/>
        <v>GRUPPI DI CONTINUITA' 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 t="s">
        <v>470</v>
      </c>
      <c r="B326" s="5" t="s">
        <v>471</v>
      </c>
      <c r="C326" s="6">
        <v>198000.0</v>
      </c>
      <c r="D326" s="7">
        <f t="shared" si="1"/>
        <v>3300000</v>
      </c>
      <c r="E326" s="5" t="str">
        <f t="shared" si="2"/>
        <v>GR.CONT.REVOLUTION E300  STAND- BY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 t="s">
        <v>472</v>
      </c>
      <c r="B327" s="5" t="s">
        <v>471</v>
      </c>
      <c r="C327" s="6">
        <v>233000.0</v>
      </c>
      <c r="D327" s="7">
        <f t="shared" si="1"/>
        <v>3883333.333</v>
      </c>
      <c r="E327" s="5" t="str">
        <f t="shared" si="2"/>
        <v>GR.CONT.REVOLUTION F450 STAND- BY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 t="s">
        <v>473</v>
      </c>
      <c r="B328" s="5" t="s">
        <v>471</v>
      </c>
      <c r="C328" s="6">
        <v>279000.0</v>
      </c>
      <c r="D328" s="7">
        <f t="shared" si="1"/>
        <v>4650000</v>
      </c>
      <c r="E328" s="5" t="str">
        <f t="shared" si="2"/>
        <v>GR.CONT.REVOLUTION L600 STAND- BY</v>
      </c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 t="s">
        <v>474</v>
      </c>
      <c r="B329" s="5" t="s">
        <v>475</v>
      </c>
      <c r="C329" s="6">
        <v>298000.0</v>
      </c>
      <c r="D329" s="7">
        <f t="shared" si="1"/>
        <v>4966666.667</v>
      </c>
      <c r="E329" s="5" t="str">
        <f t="shared" si="2"/>
        <v>GR.CONT.POWER PRO 600 LINE INTERACTIVE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 t="s">
        <v>476</v>
      </c>
      <c r="B330" s="5" t="s">
        <v>475</v>
      </c>
      <c r="C330" s="6">
        <v>478000.0</v>
      </c>
      <c r="D330" s="7">
        <f t="shared" si="1"/>
        <v>7966666.667</v>
      </c>
      <c r="E330" s="5" t="str">
        <f t="shared" si="2"/>
        <v>GR.CONT.POWER PRO 750 LINE INTERACTIVE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 t="s">
        <v>477</v>
      </c>
      <c r="B331" s="5" t="s">
        <v>475</v>
      </c>
      <c r="C331" s="6">
        <v>626000.0</v>
      </c>
      <c r="D331" s="7">
        <f t="shared" si="1"/>
        <v>10433333.33</v>
      </c>
      <c r="E331" s="5" t="str">
        <f t="shared" si="2"/>
        <v>GR.CONT.POWER PRO 900 LINE INTERACTIVE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 t="s">
        <v>478</v>
      </c>
      <c r="B332" s="5" t="s">
        <v>475</v>
      </c>
      <c r="C332" s="6">
        <v>757000.0</v>
      </c>
      <c r="D332" s="7">
        <f t="shared" si="1"/>
        <v>12616666.67</v>
      </c>
      <c r="E332" s="5" t="str">
        <f t="shared" si="2"/>
        <v>GR.CONT.POWER PRO 1000 LINE INTERACTIVE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 t="s">
        <v>479</v>
      </c>
      <c r="B333" s="5" t="s">
        <v>475</v>
      </c>
      <c r="C333" s="6">
        <v>1128000.0</v>
      </c>
      <c r="D333" s="7">
        <f t="shared" si="1"/>
        <v>18800000</v>
      </c>
      <c r="E333" s="5" t="str">
        <f t="shared" si="2"/>
        <v>GR.CONT.POWER PRO 1600 LINE INTERACTIVE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 t="s">
        <v>480</v>
      </c>
      <c r="B334" s="5" t="s">
        <v>475</v>
      </c>
      <c r="C334" s="6">
        <v>1527000.0</v>
      </c>
      <c r="D334" s="7">
        <f t="shared" si="1"/>
        <v>25450000</v>
      </c>
      <c r="E334" s="5" t="str">
        <f t="shared" si="2"/>
        <v>GR.CONT.POWER PRO 2400 LINE INTERACTIVE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 t="s">
        <v>481</v>
      </c>
      <c r="B335" s="5" t="s">
        <v>482</v>
      </c>
      <c r="C335" s="6">
        <v>4134000.0</v>
      </c>
      <c r="D335" s="7">
        <f t="shared" si="1"/>
        <v>68900000</v>
      </c>
      <c r="E335" s="5" t="str">
        <f t="shared" si="2"/>
        <v>GR.CONT.POWERSAVE 4000 ON-LINE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 t="s">
        <v>483</v>
      </c>
      <c r="B336" s="5" t="s">
        <v>482</v>
      </c>
      <c r="C336" s="6">
        <v>6850000.0</v>
      </c>
      <c r="D336" s="7">
        <f t="shared" si="1"/>
        <v>114166666.7</v>
      </c>
      <c r="E336" s="5" t="str">
        <f t="shared" si="2"/>
        <v>GR.CONT.POWERSAVE 7500 ON-LINE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 t="s">
        <v>484</v>
      </c>
      <c r="B337" s="5" t="s">
        <v>482</v>
      </c>
      <c r="C337" s="6">
        <v>1.1712E7</v>
      </c>
      <c r="D337" s="7">
        <f t="shared" si="1"/>
        <v>195200000</v>
      </c>
      <c r="E337" s="5" t="str">
        <f t="shared" si="2"/>
        <v>GR.CONT.POWERSAVE 12500 ON-LINE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6"/>
      <c r="D338" s="8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6"/>
      <c r="D339" s="8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6"/>
      <c r="D340" s="8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6"/>
      <c r="D341" s="8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6"/>
      <c r="D342" s="8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6"/>
      <c r="D343" s="8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6"/>
      <c r="D344" s="8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6"/>
      <c r="D345" s="8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6"/>
      <c r="D346" s="8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6"/>
      <c r="D347" s="8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6"/>
      <c r="D348" s="8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6"/>
      <c r="D349" s="8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6"/>
      <c r="D350" s="8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6"/>
      <c r="D351" s="8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6"/>
      <c r="D352" s="8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6"/>
      <c r="D353" s="8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6"/>
      <c r="D354" s="8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6"/>
      <c r="D355" s="8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6"/>
      <c r="D356" s="8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6"/>
      <c r="D357" s="8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6"/>
      <c r="D358" s="8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6"/>
      <c r="D359" s="8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6"/>
      <c r="D360" s="8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6"/>
      <c r="D361" s="8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6"/>
      <c r="D362" s="8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6"/>
      <c r="D363" s="8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6"/>
      <c r="D364" s="8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6"/>
      <c r="D365" s="8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6"/>
      <c r="D366" s="8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6"/>
      <c r="D367" s="8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6"/>
      <c r="D368" s="8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6"/>
      <c r="D369" s="8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6"/>
      <c r="D370" s="8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6"/>
      <c r="D371" s="8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6"/>
      <c r="D372" s="8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6"/>
      <c r="D373" s="8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6"/>
      <c r="D374" s="8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6"/>
      <c r="D375" s="8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6"/>
      <c r="D376" s="8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6"/>
      <c r="D377" s="8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6"/>
      <c r="D378" s="8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6"/>
      <c r="D379" s="8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6"/>
      <c r="D380" s="8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6"/>
      <c r="D381" s="8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6"/>
      <c r="D382" s="8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6"/>
      <c r="D383" s="8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6"/>
      <c r="D384" s="8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6"/>
      <c r="D385" s="8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6"/>
      <c r="D386" s="8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6"/>
      <c r="D387" s="8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6"/>
      <c r="D388" s="8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6"/>
      <c r="D389" s="8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6"/>
      <c r="D390" s="8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6"/>
      <c r="D391" s="8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6"/>
      <c r="D392" s="8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6"/>
      <c r="D393" s="8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6"/>
      <c r="D394" s="8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6"/>
      <c r="D395" s="8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6"/>
      <c r="D396" s="8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6"/>
      <c r="D397" s="8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6"/>
      <c r="D398" s="8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6"/>
      <c r="D399" s="8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6"/>
      <c r="D400" s="8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6"/>
      <c r="D401" s="8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6"/>
      <c r="D402" s="8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6"/>
      <c r="D403" s="8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6"/>
      <c r="D404" s="8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6"/>
      <c r="D405" s="8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6"/>
      <c r="D406" s="8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6"/>
      <c r="D407" s="8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6"/>
      <c r="D408" s="8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6"/>
      <c r="D409" s="8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6"/>
      <c r="D410" s="8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6"/>
      <c r="D411" s="8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6"/>
      <c r="D412" s="8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6"/>
      <c r="D413" s="8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6"/>
      <c r="D414" s="8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6"/>
      <c r="D415" s="8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6"/>
      <c r="D416" s="8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6"/>
      <c r="D417" s="8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6"/>
      <c r="D418" s="8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6"/>
      <c r="D419" s="8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6"/>
      <c r="D420" s="8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6"/>
      <c r="D421" s="8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6"/>
      <c r="D422" s="8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6"/>
      <c r="D423" s="8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6"/>
      <c r="D424" s="8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6"/>
      <c r="D425" s="8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6"/>
      <c r="D426" s="8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6"/>
      <c r="D427" s="8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6"/>
      <c r="D428" s="8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6"/>
      <c r="D429" s="8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6"/>
      <c r="D430" s="8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6"/>
      <c r="D431" s="8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6"/>
      <c r="D432" s="8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6"/>
      <c r="D433" s="8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6"/>
      <c r="D434" s="8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6"/>
      <c r="D435" s="8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6"/>
      <c r="D436" s="8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6"/>
      <c r="D437" s="8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6"/>
      <c r="D438" s="8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6"/>
      <c r="D439" s="8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6"/>
      <c r="D440" s="8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6"/>
      <c r="D441" s="8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6"/>
      <c r="D442" s="8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6"/>
      <c r="D443" s="8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6"/>
      <c r="D444" s="8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6"/>
      <c r="D445" s="8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6"/>
      <c r="D446" s="8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6"/>
      <c r="D447" s="8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6"/>
      <c r="D448" s="8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6"/>
      <c r="D449" s="8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6"/>
      <c r="D450" s="8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6"/>
      <c r="D451" s="8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6"/>
      <c r="D452" s="8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6"/>
      <c r="D453" s="8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6"/>
      <c r="D454" s="8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6"/>
      <c r="D455" s="8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6"/>
      <c r="D456" s="8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6"/>
      <c r="D457" s="8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6"/>
      <c r="D458" s="8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6"/>
      <c r="D459" s="8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6"/>
      <c r="D460" s="8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6"/>
      <c r="D461" s="8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6"/>
      <c r="D462" s="8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6"/>
      <c r="D463" s="8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6"/>
      <c r="D464" s="8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6"/>
      <c r="D465" s="8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6"/>
      <c r="D466" s="8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6"/>
      <c r="D467" s="8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6"/>
      <c r="D468" s="8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6"/>
      <c r="D469" s="8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6"/>
      <c r="D470" s="8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6"/>
      <c r="D471" s="8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6"/>
      <c r="D472" s="8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6"/>
      <c r="D473" s="8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6"/>
      <c r="D474" s="8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6"/>
      <c r="D475" s="8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6"/>
      <c r="D476" s="8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6"/>
      <c r="D477" s="8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6"/>
      <c r="D478" s="8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6"/>
      <c r="D479" s="8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6"/>
      <c r="D480" s="8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6"/>
      <c r="D481" s="8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6"/>
      <c r="D482" s="8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6"/>
      <c r="D483" s="8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6"/>
      <c r="D484" s="8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6"/>
      <c r="D485" s="8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6"/>
      <c r="D486" s="8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6"/>
      <c r="D487" s="8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6"/>
      <c r="D488" s="8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6"/>
      <c r="D489" s="8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6"/>
      <c r="D490" s="8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6"/>
      <c r="D491" s="8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6"/>
      <c r="D492" s="8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6"/>
      <c r="D493" s="8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6"/>
      <c r="D494" s="8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6"/>
      <c r="D495" s="8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6"/>
      <c r="D496" s="8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6"/>
      <c r="D497" s="8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6"/>
      <c r="D498" s="8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6"/>
      <c r="D499" s="8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6"/>
      <c r="D500" s="8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6"/>
      <c r="D501" s="8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6"/>
      <c r="D502" s="8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6"/>
      <c r="D503" s="8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6"/>
      <c r="D504" s="8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6"/>
      <c r="D505" s="8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6"/>
      <c r="D506" s="8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6"/>
      <c r="D507" s="8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6"/>
      <c r="D508" s="8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6"/>
      <c r="D509" s="8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6"/>
      <c r="D510" s="8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6"/>
      <c r="D511" s="8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6"/>
      <c r="D512" s="8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6"/>
      <c r="D513" s="8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6"/>
      <c r="D514" s="8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6"/>
      <c r="D515" s="8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6"/>
      <c r="D516" s="8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6"/>
      <c r="D517" s="8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6"/>
      <c r="D518" s="8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6"/>
      <c r="D519" s="8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6"/>
      <c r="D520" s="8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6"/>
      <c r="D521" s="8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6"/>
      <c r="D522" s="8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6"/>
      <c r="D523" s="8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6"/>
      <c r="D524" s="8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6"/>
      <c r="D525" s="8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6"/>
      <c r="D526" s="8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6"/>
      <c r="D527" s="8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6"/>
      <c r="D528" s="8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6"/>
      <c r="D529" s="8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6"/>
      <c r="D530" s="8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6"/>
      <c r="D531" s="8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6"/>
      <c r="D532" s="8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6"/>
      <c r="D533" s="8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6"/>
      <c r="D534" s="8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6"/>
      <c r="D535" s="8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6"/>
      <c r="D536" s="8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6"/>
      <c r="D537" s="8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D538" s="9"/>
    </row>
    <row r="539" ht="15.75" customHeight="1">
      <c r="D539" s="9"/>
    </row>
    <row r="540" ht="15.75" customHeight="1">
      <c r="D540" s="9"/>
    </row>
    <row r="541" ht="15.75" customHeight="1">
      <c r="D541" s="9"/>
    </row>
    <row r="542" ht="15.75" customHeight="1">
      <c r="D542" s="9"/>
    </row>
    <row r="543" ht="15.75" customHeight="1">
      <c r="D543" s="9"/>
    </row>
    <row r="544" ht="15.75" customHeight="1">
      <c r="D544" s="9"/>
    </row>
    <row r="545" ht="15.75" customHeight="1">
      <c r="D545" s="9"/>
    </row>
    <row r="546" ht="15.75" customHeight="1">
      <c r="D546" s="9"/>
    </row>
    <row r="547" ht="15.75" customHeight="1">
      <c r="D547" s="9"/>
    </row>
    <row r="548" ht="15.75" customHeight="1">
      <c r="D548" s="9"/>
    </row>
    <row r="549" ht="15.75" customHeight="1">
      <c r="D549" s="9"/>
    </row>
    <row r="550" ht="15.75" customHeight="1">
      <c r="D550" s="9"/>
    </row>
    <row r="551" ht="15.75" customHeight="1">
      <c r="D551" s="9"/>
    </row>
    <row r="552" ht="15.75" customHeight="1">
      <c r="D552" s="9"/>
    </row>
    <row r="553" ht="15.75" customHeight="1">
      <c r="D553" s="9"/>
    </row>
    <row r="554" ht="15.75" customHeight="1">
      <c r="D554" s="9"/>
    </row>
    <row r="555" ht="15.75" customHeight="1">
      <c r="D555" s="9"/>
    </row>
    <row r="556" ht="15.75" customHeight="1">
      <c r="D556" s="9"/>
    </row>
    <row r="557" ht="15.75" customHeight="1">
      <c r="D557" s="9"/>
    </row>
    <row r="558" ht="15.75" customHeight="1">
      <c r="D558" s="9"/>
    </row>
    <row r="559" ht="15.75" customHeight="1">
      <c r="D559" s="9"/>
    </row>
    <row r="560" ht="15.75" customHeight="1">
      <c r="D560" s="9"/>
    </row>
    <row r="561" ht="15.75" customHeight="1">
      <c r="D561" s="9"/>
    </row>
    <row r="562" ht="15.75" customHeight="1">
      <c r="D562" s="9"/>
    </row>
    <row r="563" ht="15.75" customHeight="1">
      <c r="D563" s="9"/>
    </row>
    <row r="564" ht="15.75" customHeight="1">
      <c r="D564" s="9"/>
    </row>
    <row r="565" ht="15.75" customHeight="1">
      <c r="D565" s="9"/>
    </row>
    <row r="566" ht="15.75" customHeight="1">
      <c r="D566" s="9"/>
    </row>
    <row r="567" ht="15.75" customHeight="1">
      <c r="D567" s="9"/>
    </row>
    <row r="568" ht="15.75" customHeight="1">
      <c r="D568" s="9"/>
    </row>
    <row r="569" ht="15.75" customHeight="1">
      <c r="D569" s="9"/>
    </row>
    <row r="570" ht="15.75" customHeight="1">
      <c r="D570" s="9"/>
    </row>
    <row r="571" ht="15.75" customHeight="1">
      <c r="D571" s="9"/>
    </row>
    <row r="572" ht="15.75" customHeight="1">
      <c r="D572" s="9"/>
    </row>
    <row r="573" ht="15.75" customHeight="1">
      <c r="D573" s="9"/>
    </row>
    <row r="574" ht="15.75" customHeight="1">
      <c r="D574" s="9"/>
    </row>
    <row r="575" ht="15.75" customHeight="1">
      <c r="D575" s="9"/>
    </row>
    <row r="576" ht="15.75" customHeight="1">
      <c r="D576" s="9"/>
    </row>
    <row r="577" ht="15.75" customHeight="1">
      <c r="D577" s="9"/>
    </row>
    <row r="578" ht="15.75" customHeight="1">
      <c r="D578" s="9"/>
    </row>
    <row r="579" ht="15.75" customHeight="1">
      <c r="D579" s="9"/>
    </row>
    <row r="580" ht="15.75" customHeight="1">
      <c r="D580" s="9"/>
    </row>
    <row r="581" ht="15.75" customHeight="1">
      <c r="D581" s="9"/>
    </row>
    <row r="582" ht="15.75" customHeight="1">
      <c r="D582" s="9"/>
    </row>
    <row r="583" ht="15.75" customHeight="1">
      <c r="D583" s="9"/>
    </row>
    <row r="584" ht="15.75" customHeight="1">
      <c r="D584" s="9"/>
    </row>
    <row r="585" ht="15.75" customHeight="1">
      <c r="D585" s="9"/>
    </row>
    <row r="586" ht="15.75" customHeight="1">
      <c r="D586" s="9"/>
    </row>
    <row r="587" ht="15.75" customHeight="1">
      <c r="D587" s="9"/>
    </row>
    <row r="588" ht="15.75" customHeight="1">
      <c r="D588" s="9"/>
    </row>
    <row r="589" ht="15.75" customHeight="1">
      <c r="D589" s="9"/>
    </row>
    <row r="590" ht="15.75" customHeight="1">
      <c r="D590" s="9"/>
    </row>
    <row r="591" ht="15.75" customHeight="1">
      <c r="D591" s="9"/>
    </row>
    <row r="592" ht="15.75" customHeight="1">
      <c r="D592" s="9"/>
    </row>
    <row r="593" ht="15.75" customHeight="1">
      <c r="D593" s="9"/>
    </row>
    <row r="594" ht="15.75" customHeight="1">
      <c r="D594" s="9"/>
    </row>
    <row r="595" ht="15.75" customHeight="1">
      <c r="D595" s="9"/>
    </row>
    <row r="596" ht="15.75" customHeight="1">
      <c r="D596" s="9"/>
    </row>
    <row r="597" ht="15.75" customHeight="1">
      <c r="D597" s="9"/>
    </row>
    <row r="598" ht="15.75" customHeight="1">
      <c r="D598" s="9"/>
    </row>
    <row r="599" ht="15.75" customHeight="1">
      <c r="D599" s="9"/>
    </row>
    <row r="600" ht="15.75" customHeight="1">
      <c r="D600" s="9"/>
    </row>
    <row r="601" ht="15.75" customHeight="1">
      <c r="D601" s="9"/>
    </row>
    <row r="602" ht="15.75" customHeight="1">
      <c r="D602" s="9"/>
    </row>
    <row r="603" ht="15.75" customHeight="1">
      <c r="D603" s="9"/>
    </row>
    <row r="604" ht="15.75" customHeight="1">
      <c r="D604" s="9"/>
    </row>
    <row r="605" ht="15.75" customHeight="1">
      <c r="D605" s="9"/>
    </row>
    <row r="606" ht="15.75" customHeight="1">
      <c r="D606" s="9"/>
    </row>
    <row r="607" ht="15.75" customHeight="1">
      <c r="D607" s="9"/>
    </row>
    <row r="608" ht="15.75" customHeight="1">
      <c r="D608" s="9"/>
    </row>
    <row r="609" ht="15.75" customHeight="1">
      <c r="D609" s="9"/>
    </row>
    <row r="610" ht="15.75" customHeight="1">
      <c r="D610" s="9"/>
    </row>
    <row r="611" ht="15.75" customHeight="1">
      <c r="D611" s="9"/>
    </row>
    <row r="612" ht="15.75" customHeight="1">
      <c r="D612" s="9"/>
    </row>
    <row r="613" ht="15.75" customHeight="1">
      <c r="D613" s="9"/>
    </row>
    <row r="614" ht="15.75" customHeight="1">
      <c r="D614" s="9"/>
    </row>
    <row r="615" ht="15.75" customHeight="1">
      <c r="D615" s="9"/>
    </row>
    <row r="616" ht="15.75" customHeight="1">
      <c r="D616" s="9"/>
    </row>
    <row r="617" ht="15.75" customHeight="1">
      <c r="D617" s="9"/>
    </row>
    <row r="618" ht="15.75" customHeight="1">
      <c r="D618" s="9"/>
    </row>
    <row r="619" ht="15.75" customHeight="1">
      <c r="D619" s="9"/>
    </row>
    <row r="620" ht="15.75" customHeight="1">
      <c r="D620" s="9"/>
    </row>
    <row r="621" ht="15.75" customHeight="1">
      <c r="D621" s="9"/>
    </row>
    <row r="622" ht="15.75" customHeight="1">
      <c r="D622" s="9"/>
    </row>
    <row r="623" ht="15.75" customHeight="1">
      <c r="D623" s="9"/>
    </row>
    <row r="624" ht="15.75" customHeight="1">
      <c r="D624" s="9"/>
    </row>
    <row r="625" ht="15.75" customHeight="1">
      <c r="D625" s="9"/>
    </row>
    <row r="626" ht="15.75" customHeight="1">
      <c r="D626" s="9"/>
    </row>
    <row r="627" ht="15.75" customHeight="1">
      <c r="D627" s="9"/>
    </row>
    <row r="628" ht="15.75" customHeight="1">
      <c r="D628" s="9"/>
    </row>
    <row r="629" ht="15.75" customHeight="1">
      <c r="D629" s="9"/>
    </row>
    <row r="630" ht="15.75" customHeight="1">
      <c r="D630" s="9"/>
    </row>
    <row r="631" ht="15.75" customHeight="1">
      <c r="D631" s="9"/>
    </row>
    <row r="632" ht="15.75" customHeight="1">
      <c r="D632" s="9"/>
    </row>
    <row r="633" ht="15.75" customHeight="1">
      <c r="D633" s="9"/>
    </row>
    <row r="634" ht="15.75" customHeight="1">
      <c r="D634" s="9"/>
    </row>
    <row r="635" ht="15.75" customHeight="1">
      <c r="D635" s="9"/>
    </row>
    <row r="636" ht="15.75" customHeight="1">
      <c r="D636" s="9"/>
    </row>
    <row r="637" ht="15.75" customHeight="1">
      <c r="D637" s="9"/>
    </row>
    <row r="638" ht="15.75" customHeight="1">
      <c r="D638" s="9"/>
    </row>
    <row r="639" ht="15.75" customHeight="1">
      <c r="D639" s="9"/>
    </row>
    <row r="640" ht="15.75" customHeight="1">
      <c r="D640" s="9"/>
    </row>
    <row r="641" ht="15.75" customHeight="1">
      <c r="D641" s="9"/>
    </row>
    <row r="642" ht="15.75" customHeight="1">
      <c r="D642" s="9"/>
    </row>
    <row r="643" ht="15.75" customHeight="1">
      <c r="D643" s="9"/>
    </row>
    <row r="644" ht="15.75" customHeight="1">
      <c r="D644" s="9"/>
    </row>
    <row r="645" ht="15.75" customHeight="1">
      <c r="D645" s="9"/>
    </row>
    <row r="646" ht="15.75" customHeight="1">
      <c r="D646" s="9"/>
    </row>
    <row r="647" ht="15.75" customHeight="1">
      <c r="D647" s="9"/>
    </row>
    <row r="648" ht="15.75" customHeight="1">
      <c r="D648" s="9"/>
    </row>
    <row r="649" ht="15.75" customHeight="1">
      <c r="D649" s="9"/>
    </row>
    <row r="650" ht="15.75" customHeight="1">
      <c r="D650" s="9"/>
    </row>
    <row r="651" ht="15.75" customHeight="1">
      <c r="D651" s="9"/>
    </row>
    <row r="652" ht="15.75" customHeight="1">
      <c r="D652" s="9"/>
    </row>
    <row r="653" ht="15.75" customHeight="1">
      <c r="D653" s="9"/>
    </row>
    <row r="654" ht="15.75" customHeight="1">
      <c r="D654" s="9"/>
    </row>
    <row r="655" ht="15.75" customHeight="1">
      <c r="D655" s="9"/>
    </row>
    <row r="656" ht="15.75" customHeight="1">
      <c r="D656" s="9"/>
    </row>
    <row r="657" ht="15.75" customHeight="1">
      <c r="D657" s="9"/>
    </row>
    <row r="658" ht="15.75" customHeight="1">
      <c r="D658" s="9"/>
    </row>
    <row r="659" ht="15.75" customHeight="1">
      <c r="D659" s="9"/>
    </row>
    <row r="660" ht="15.75" customHeight="1">
      <c r="D660" s="9"/>
    </row>
    <row r="661" ht="15.75" customHeight="1">
      <c r="D661" s="9"/>
    </row>
    <row r="662" ht="15.75" customHeight="1">
      <c r="D662" s="9"/>
    </row>
    <row r="663" ht="15.75" customHeight="1">
      <c r="D663" s="9"/>
    </row>
    <row r="664" ht="15.75" customHeight="1">
      <c r="D664" s="9"/>
    </row>
    <row r="665" ht="15.75" customHeight="1">
      <c r="D665" s="9"/>
    </row>
    <row r="666" ht="15.75" customHeight="1">
      <c r="D666" s="9"/>
    </row>
    <row r="667" ht="15.75" customHeight="1">
      <c r="D667" s="9"/>
    </row>
    <row r="668" ht="15.75" customHeight="1">
      <c r="D668" s="9"/>
    </row>
    <row r="669" ht="15.75" customHeight="1">
      <c r="D669" s="9"/>
    </row>
    <row r="670" ht="15.75" customHeight="1">
      <c r="D670" s="9"/>
    </row>
    <row r="671" ht="15.75" customHeight="1">
      <c r="D671" s="9"/>
    </row>
    <row r="672" ht="15.75" customHeight="1">
      <c r="D672" s="9"/>
    </row>
    <row r="673" ht="15.75" customHeight="1">
      <c r="D673" s="9"/>
    </row>
    <row r="674" ht="15.75" customHeight="1">
      <c r="D674" s="9"/>
    </row>
    <row r="675" ht="15.75" customHeight="1">
      <c r="D675" s="9"/>
    </row>
    <row r="676" ht="15.75" customHeight="1">
      <c r="D676" s="9"/>
    </row>
    <row r="677" ht="15.75" customHeight="1">
      <c r="D677" s="9"/>
    </row>
    <row r="678" ht="15.75" customHeight="1">
      <c r="D678" s="9"/>
    </row>
    <row r="679" ht="15.75" customHeight="1">
      <c r="D679" s="9"/>
    </row>
    <row r="680" ht="15.75" customHeight="1">
      <c r="D680" s="9"/>
    </row>
    <row r="681" ht="15.75" customHeight="1">
      <c r="D681" s="9"/>
    </row>
    <row r="682" ht="15.75" customHeight="1">
      <c r="D682" s="9"/>
    </row>
    <row r="683" ht="15.75" customHeight="1">
      <c r="D683" s="9"/>
    </row>
    <row r="684" ht="15.75" customHeight="1">
      <c r="D684" s="9"/>
    </row>
    <row r="685" ht="15.75" customHeight="1">
      <c r="D685" s="9"/>
    </row>
    <row r="686" ht="15.75" customHeight="1">
      <c r="D686" s="9"/>
    </row>
    <row r="687" ht="15.75" customHeight="1">
      <c r="D687" s="9"/>
    </row>
    <row r="688" ht="15.75" customHeight="1">
      <c r="D688" s="9"/>
    </row>
    <row r="689" ht="15.75" customHeight="1">
      <c r="D689" s="9"/>
    </row>
    <row r="690" ht="15.75" customHeight="1">
      <c r="D690" s="9"/>
    </row>
    <row r="691" ht="15.75" customHeight="1">
      <c r="D691" s="9"/>
    </row>
    <row r="692" ht="15.75" customHeight="1">
      <c r="D692" s="9"/>
    </row>
    <row r="693" ht="15.75" customHeight="1">
      <c r="D693" s="9"/>
    </row>
    <row r="694" ht="15.75" customHeight="1">
      <c r="D694" s="9"/>
    </row>
    <row r="695" ht="15.75" customHeight="1">
      <c r="D695" s="9"/>
    </row>
    <row r="696" ht="15.75" customHeight="1">
      <c r="D696" s="9"/>
    </row>
    <row r="697" ht="15.75" customHeight="1">
      <c r="D697" s="9"/>
    </row>
    <row r="698" ht="15.75" customHeight="1">
      <c r="D698" s="9"/>
    </row>
    <row r="699" ht="15.75" customHeight="1">
      <c r="D699" s="9"/>
    </row>
    <row r="700" ht="15.75" customHeight="1">
      <c r="D700" s="9"/>
    </row>
    <row r="701" ht="15.75" customHeight="1">
      <c r="D701" s="9"/>
    </row>
    <row r="702" ht="15.75" customHeight="1">
      <c r="D702" s="9"/>
    </row>
    <row r="703" ht="15.75" customHeight="1">
      <c r="D703" s="9"/>
    </row>
    <row r="704" ht="15.75" customHeight="1">
      <c r="D704" s="9"/>
    </row>
    <row r="705" ht="15.75" customHeight="1">
      <c r="D705" s="9"/>
    </row>
    <row r="706" ht="15.75" customHeight="1">
      <c r="D706" s="9"/>
    </row>
    <row r="707" ht="15.75" customHeight="1">
      <c r="D707" s="9"/>
    </row>
    <row r="708" ht="15.75" customHeight="1">
      <c r="D708" s="9"/>
    </row>
    <row r="709" ht="15.75" customHeight="1">
      <c r="D709" s="9"/>
    </row>
    <row r="710" ht="15.75" customHeight="1">
      <c r="D710" s="9"/>
    </row>
    <row r="711" ht="15.75" customHeight="1">
      <c r="D711" s="9"/>
    </row>
    <row r="712" ht="15.75" customHeight="1">
      <c r="D712" s="9"/>
    </row>
    <row r="713" ht="15.75" customHeight="1">
      <c r="D713" s="9"/>
    </row>
    <row r="714" ht="15.75" customHeight="1">
      <c r="D714" s="9"/>
    </row>
    <row r="715" ht="15.75" customHeight="1">
      <c r="D715" s="9"/>
    </row>
    <row r="716" ht="15.75" customHeight="1">
      <c r="D716" s="9"/>
    </row>
    <row r="717" ht="15.75" customHeight="1">
      <c r="D717" s="9"/>
    </row>
    <row r="718" ht="15.75" customHeight="1">
      <c r="D718" s="9"/>
    </row>
    <row r="719" ht="15.75" customHeight="1">
      <c r="D719" s="9"/>
    </row>
    <row r="720" ht="15.75" customHeight="1">
      <c r="D720" s="9"/>
    </row>
    <row r="721" ht="15.75" customHeight="1">
      <c r="D721" s="9"/>
    </row>
    <row r="722" ht="15.75" customHeight="1">
      <c r="D722" s="9"/>
    </row>
    <row r="723" ht="15.75" customHeight="1">
      <c r="D723" s="9"/>
    </row>
    <row r="724" ht="15.75" customHeight="1">
      <c r="D724" s="9"/>
    </row>
    <row r="725" ht="15.75" customHeight="1">
      <c r="D725" s="9"/>
    </row>
    <row r="726" ht="15.75" customHeight="1">
      <c r="D726" s="9"/>
    </row>
    <row r="727" ht="15.75" customHeight="1">
      <c r="D727" s="9"/>
    </row>
    <row r="728" ht="15.75" customHeight="1">
      <c r="D728" s="9"/>
    </row>
    <row r="729" ht="15.75" customHeight="1">
      <c r="D729" s="9"/>
    </row>
    <row r="730" ht="15.75" customHeight="1">
      <c r="D730" s="9"/>
    </row>
    <row r="731" ht="15.75" customHeight="1">
      <c r="D731" s="9"/>
    </row>
    <row r="732" ht="15.75" customHeight="1">
      <c r="D732" s="9"/>
    </row>
    <row r="733" ht="15.75" customHeight="1">
      <c r="D733" s="9"/>
    </row>
    <row r="734" ht="15.75" customHeight="1">
      <c r="D734" s="9"/>
    </row>
    <row r="735" ht="15.75" customHeight="1">
      <c r="D735" s="9"/>
    </row>
    <row r="736" ht="15.75" customHeight="1">
      <c r="D736" s="9"/>
    </row>
    <row r="737" ht="15.75" customHeight="1">
      <c r="D737" s="9"/>
    </row>
    <row r="738" ht="15.75" customHeight="1">
      <c r="D738" s="9"/>
    </row>
    <row r="739" ht="15.75" customHeight="1">
      <c r="D739" s="9"/>
    </row>
    <row r="740" ht="15.75" customHeight="1">
      <c r="D740" s="9"/>
    </row>
    <row r="741" ht="15.75" customHeight="1">
      <c r="D741" s="9"/>
    </row>
    <row r="742" ht="15.75" customHeight="1">
      <c r="D742" s="9"/>
    </row>
    <row r="743" ht="15.75" customHeight="1">
      <c r="D743" s="9"/>
    </row>
    <row r="744" ht="15.75" customHeight="1">
      <c r="D744" s="9"/>
    </row>
    <row r="745" ht="15.75" customHeight="1">
      <c r="D745" s="9"/>
    </row>
    <row r="746" ht="15.75" customHeight="1">
      <c r="D746" s="9"/>
    </row>
    <row r="747" ht="15.75" customHeight="1">
      <c r="D747" s="9"/>
    </row>
    <row r="748" ht="15.75" customHeight="1">
      <c r="D748" s="9"/>
    </row>
    <row r="749" ht="15.75" customHeight="1">
      <c r="D749" s="9"/>
    </row>
    <row r="750" ht="15.75" customHeight="1">
      <c r="D750" s="9"/>
    </row>
    <row r="751" ht="15.75" customHeight="1">
      <c r="D751" s="9"/>
    </row>
    <row r="752" ht="15.75" customHeight="1">
      <c r="D752" s="9"/>
    </row>
    <row r="753" ht="15.75" customHeight="1">
      <c r="D753" s="9"/>
    </row>
    <row r="754" ht="15.75" customHeight="1">
      <c r="D754" s="9"/>
    </row>
    <row r="755" ht="15.75" customHeight="1">
      <c r="D755" s="9"/>
    </row>
    <row r="756" ht="15.75" customHeight="1">
      <c r="D756" s="9"/>
    </row>
    <row r="757" ht="15.75" customHeight="1">
      <c r="D757" s="9"/>
    </row>
    <row r="758" ht="15.75" customHeight="1">
      <c r="D758" s="9"/>
    </row>
    <row r="759" ht="15.75" customHeight="1">
      <c r="D759" s="9"/>
    </row>
    <row r="760" ht="15.75" customHeight="1">
      <c r="D760" s="9"/>
    </row>
    <row r="761" ht="15.75" customHeight="1">
      <c r="D761" s="9"/>
    </row>
    <row r="762" ht="15.75" customHeight="1">
      <c r="D762" s="9"/>
    </row>
    <row r="763" ht="15.75" customHeight="1">
      <c r="D763" s="9"/>
    </row>
    <row r="764" ht="15.75" customHeight="1">
      <c r="D764" s="9"/>
    </row>
    <row r="765" ht="15.75" customHeight="1">
      <c r="D765" s="9"/>
    </row>
    <row r="766" ht="15.75" customHeight="1">
      <c r="D766" s="9"/>
    </row>
    <row r="767" ht="15.75" customHeight="1">
      <c r="D767" s="9"/>
    </row>
    <row r="768" ht="15.75" customHeight="1">
      <c r="D768" s="9"/>
    </row>
    <row r="769" ht="15.75" customHeight="1">
      <c r="D769" s="9"/>
    </row>
    <row r="770" ht="15.75" customHeight="1">
      <c r="D770" s="9"/>
    </row>
    <row r="771" ht="15.75" customHeight="1">
      <c r="D771" s="9"/>
    </row>
    <row r="772" ht="15.75" customHeight="1">
      <c r="D772" s="9"/>
    </row>
    <row r="773" ht="15.75" customHeight="1">
      <c r="D773" s="9"/>
    </row>
    <row r="774" ht="15.75" customHeight="1">
      <c r="D774" s="9"/>
    </row>
    <row r="775" ht="15.75" customHeight="1">
      <c r="D775" s="9"/>
    </row>
    <row r="776" ht="15.75" customHeight="1">
      <c r="D776" s="9"/>
    </row>
    <row r="777" ht="15.75" customHeight="1">
      <c r="D777" s="9"/>
    </row>
    <row r="778" ht="15.75" customHeight="1">
      <c r="D778" s="9"/>
    </row>
    <row r="779" ht="15.75" customHeight="1">
      <c r="D779" s="9"/>
    </row>
    <row r="780" ht="15.75" customHeight="1">
      <c r="D780" s="9"/>
    </row>
    <row r="781" ht="15.75" customHeight="1">
      <c r="D781" s="9"/>
    </row>
    <row r="782" ht="15.75" customHeight="1">
      <c r="D782" s="9"/>
    </row>
    <row r="783" ht="15.75" customHeight="1">
      <c r="D783" s="9"/>
    </row>
    <row r="784" ht="15.75" customHeight="1">
      <c r="D784" s="9"/>
    </row>
    <row r="785" ht="15.75" customHeight="1">
      <c r="D785" s="9"/>
    </row>
    <row r="786" ht="15.75" customHeight="1">
      <c r="D786" s="9"/>
    </row>
    <row r="787" ht="15.75" customHeight="1">
      <c r="D787" s="9"/>
    </row>
    <row r="788" ht="15.75" customHeight="1">
      <c r="D788" s="9"/>
    </row>
    <row r="789" ht="15.75" customHeight="1">
      <c r="D789" s="9"/>
    </row>
    <row r="790" ht="15.75" customHeight="1">
      <c r="D790" s="9"/>
    </row>
    <row r="791" ht="15.75" customHeight="1">
      <c r="D791" s="9"/>
    </row>
    <row r="792" ht="15.75" customHeight="1">
      <c r="D792" s="9"/>
    </row>
    <row r="793" ht="15.75" customHeight="1">
      <c r="D793" s="9"/>
    </row>
    <row r="794" ht="15.75" customHeight="1">
      <c r="D794" s="9"/>
    </row>
    <row r="795" ht="15.75" customHeight="1">
      <c r="D795" s="9"/>
    </row>
    <row r="796" ht="15.75" customHeight="1">
      <c r="D796" s="9"/>
    </row>
    <row r="797" ht="15.75" customHeight="1">
      <c r="D797" s="9"/>
    </row>
    <row r="798" ht="15.75" customHeight="1">
      <c r="D798" s="9"/>
    </row>
    <row r="799" ht="15.75" customHeight="1">
      <c r="D799" s="9"/>
    </row>
    <row r="800" ht="15.75" customHeight="1">
      <c r="D800" s="9"/>
    </row>
    <row r="801" ht="15.75" customHeight="1">
      <c r="D801" s="9"/>
    </row>
    <row r="802" ht="15.75" customHeight="1">
      <c r="D802" s="9"/>
    </row>
    <row r="803" ht="15.75" customHeight="1">
      <c r="D803" s="9"/>
    </row>
    <row r="804" ht="15.75" customHeight="1">
      <c r="D804" s="9"/>
    </row>
    <row r="805" ht="15.75" customHeight="1">
      <c r="D805" s="9"/>
    </row>
    <row r="806" ht="15.75" customHeight="1">
      <c r="D806" s="9"/>
    </row>
    <row r="807" ht="15.75" customHeight="1">
      <c r="D807" s="9"/>
    </row>
    <row r="808" ht="15.75" customHeight="1">
      <c r="D808" s="9"/>
    </row>
    <row r="809" ht="15.75" customHeight="1">
      <c r="D809" s="9"/>
    </row>
    <row r="810" ht="15.75" customHeight="1">
      <c r="D810" s="9"/>
    </row>
    <row r="811" ht="15.75" customHeight="1">
      <c r="D811" s="9"/>
    </row>
    <row r="812" ht="15.75" customHeight="1">
      <c r="D812" s="9"/>
    </row>
    <row r="813" ht="15.75" customHeight="1">
      <c r="D813" s="9"/>
    </row>
    <row r="814" ht="15.75" customHeight="1">
      <c r="D814" s="9"/>
    </row>
    <row r="815" ht="15.75" customHeight="1">
      <c r="D815" s="9"/>
    </row>
    <row r="816" ht="15.75" customHeight="1">
      <c r="D816" s="9"/>
    </row>
    <row r="817" ht="15.75" customHeight="1">
      <c r="D817" s="9"/>
    </row>
    <row r="818" ht="15.75" customHeight="1">
      <c r="D818" s="9"/>
    </row>
    <row r="819" ht="15.75" customHeight="1">
      <c r="D819" s="9"/>
    </row>
    <row r="820" ht="15.75" customHeight="1">
      <c r="D820" s="9"/>
    </row>
    <row r="821" ht="15.75" customHeight="1">
      <c r="D821" s="9"/>
    </row>
    <row r="822" ht="15.75" customHeight="1">
      <c r="D822" s="9"/>
    </row>
    <row r="823" ht="15.75" customHeight="1">
      <c r="D823" s="9"/>
    </row>
    <row r="824" ht="15.75" customHeight="1">
      <c r="D824" s="9"/>
    </row>
    <row r="825" ht="15.75" customHeight="1">
      <c r="D825" s="9"/>
    </row>
    <row r="826" ht="15.75" customHeight="1">
      <c r="D826" s="9"/>
    </row>
    <row r="827" ht="15.75" customHeight="1">
      <c r="D827" s="9"/>
    </row>
    <row r="828" ht="15.75" customHeight="1">
      <c r="D828" s="9"/>
    </row>
    <row r="829" ht="15.75" customHeight="1">
      <c r="D829" s="9"/>
    </row>
    <row r="830" ht="15.75" customHeight="1">
      <c r="D830" s="9"/>
    </row>
    <row r="831" ht="15.75" customHeight="1">
      <c r="D831" s="9"/>
    </row>
    <row r="832" ht="15.75" customHeight="1">
      <c r="D832" s="9"/>
    </row>
    <row r="833" ht="15.75" customHeight="1">
      <c r="D833" s="9"/>
    </row>
    <row r="834" ht="15.75" customHeight="1">
      <c r="D834" s="9"/>
    </row>
    <row r="835" ht="15.75" customHeight="1">
      <c r="D835" s="9"/>
    </row>
    <row r="836" ht="15.75" customHeight="1">
      <c r="D836" s="9"/>
    </row>
    <row r="837" ht="15.75" customHeight="1">
      <c r="D837" s="9"/>
    </row>
    <row r="838" ht="15.75" customHeight="1">
      <c r="D838" s="9"/>
    </row>
    <row r="839" ht="15.75" customHeight="1">
      <c r="D839" s="9"/>
    </row>
    <row r="840" ht="15.75" customHeight="1">
      <c r="D840" s="9"/>
    </row>
    <row r="841" ht="15.75" customHeight="1">
      <c r="D841" s="9"/>
    </row>
    <row r="842" ht="15.75" customHeight="1">
      <c r="D842" s="9"/>
    </row>
    <row r="843" ht="15.75" customHeight="1">
      <c r="D843" s="9"/>
    </row>
    <row r="844" ht="15.75" customHeight="1">
      <c r="D844" s="9"/>
    </row>
    <row r="845" ht="15.75" customHeight="1">
      <c r="D845" s="9"/>
    </row>
    <row r="846" ht="15.75" customHeight="1">
      <c r="D846" s="9"/>
    </row>
    <row r="847" ht="15.75" customHeight="1">
      <c r="D847" s="9"/>
    </row>
    <row r="848" ht="15.75" customHeight="1">
      <c r="D848" s="9"/>
    </row>
    <row r="849" ht="15.75" customHeight="1">
      <c r="D849" s="9"/>
    </row>
    <row r="850" ht="15.75" customHeight="1">
      <c r="D850" s="9"/>
    </row>
    <row r="851" ht="15.75" customHeight="1">
      <c r="D851" s="9"/>
    </row>
    <row r="852" ht="15.75" customHeight="1">
      <c r="D852" s="9"/>
    </row>
    <row r="853" ht="15.75" customHeight="1">
      <c r="D853" s="9"/>
    </row>
    <row r="854" ht="15.75" customHeight="1">
      <c r="D854" s="9"/>
    </row>
    <row r="855" ht="15.75" customHeight="1">
      <c r="D855" s="9"/>
    </row>
    <row r="856" ht="15.75" customHeight="1">
      <c r="D856" s="9"/>
    </row>
    <row r="857" ht="15.75" customHeight="1">
      <c r="D857" s="9"/>
    </row>
    <row r="858" ht="15.75" customHeight="1">
      <c r="D858" s="9"/>
    </row>
    <row r="859" ht="15.75" customHeight="1">
      <c r="D859" s="9"/>
    </row>
    <row r="860" ht="15.75" customHeight="1">
      <c r="D860" s="9"/>
    </row>
    <row r="861" ht="15.75" customHeight="1">
      <c r="D861" s="9"/>
    </row>
    <row r="862" ht="15.75" customHeight="1">
      <c r="D862" s="9"/>
    </row>
    <row r="863" ht="15.75" customHeight="1">
      <c r="D863" s="9"/>
    </row>
    <row r="864" ht="15.75" customHeight="1">
      <c r="D864" s="9"/>
    </row>
    <row r="865" ht="15.75" customHeight="1">
      <c r="D865" s="9"/>
    </row>
    <row r="866" ht="15.75" customHeight="1">
      <c r="D866" s="9"/>
    </row>
    <row r="867" ht="15.75" customHeight="1">
      <c r="D867" s="9"/>
    </row>
    <row r="868" ht="15.75" customHeight="1">
      <c r="D868" s="9"/>
    </row>
    <row r="869" ht="15.75" customHeight="1">
      <c r="D869" s="9"/>
    </row>
    <row r="870" ht="15.75" customHeight="1">
      <c r="D870" s="9"/>
    </row>
    <row r="871" ht="15.75" customHeight="1">
      <c r="D871" s="9"/>
    </row>
    <row r="872" ht="15.75" customHeight="1">
      <c r="D872" s="9"/>
    </row>
    <row r="873" ht="15.75" customHeight="1">
      <c r="D873" s="9"/>
    </row>
    <row r="874" ht="15.75" customHeight="1">
      <c r="D874" s="9"/>
    </row>
    <row r="875" ht="15.75" customHeight="1">
      <c r="D875" s="9"/>
    </row>
    <row r="876" ht="15.75" customHeight="1">
      <c r="D876" s="9"/>
    </row>
    <row r="877" ht="15.75" customHeight="1">
      <c r="D877" s="9"/>
    </row>
    <row r="878" ht="15.75" customHeight="1">
      <c r="D878" s="9"/>
    </row>
    <row r="879" ht="15.75" customHeight="1">
      <c r="D879" s="9"/>
    </row>
    <row r="880" ht="15.75" customHeight="1">
      <c r="D880" s="9"/>
    </row>
    <row r="881" ht="15.75" customHeight="1">
      <c r="D881" s="9"/>
    </row>
    <row r="882" ht="15.75" customHeight="1">
      <c r="D882" s="9"/>
    </row>
    <row r="883" ht="15.75" customHeight="1">
      <c r="D883" s="9"/>
    </row>
    <row r="884" ht="15.75" customHeight="1">
      <c r="D884" s="9"/>
    </row>
    <row r="885" ht="15.75" customHeight="1">
      <c r="D885" s="9"/>
    </row>
    <row r="886" ht="15.75" customHeight="1">
      <c r="D886" s="9"/>
    </row>
    <row r="887" ht="15.75" customHeight="1">
      <c r="D887" s="9"/>
    </row>
    <row r="888" ht="15.75" customHeight="1">
      <c r="D888" s="9"/>
    </row>
    <row r="889" ht="15.75" customHeight="1">
      <c r="D889" s="9"/>
    </row>
    <row r="890" ht="15.75" customHeight="1">
      <c r="D890" s="9"/>
    </row>
    <row r="891" ht="15.75" customHeight="1">
      <c r="D891" s="9"/>
    </row>
    <row r="892" ht="15.75" customHeight="1">
      <c r="D892" s="9"/>
    </row>
    <row r="893" ht="15.75" customHeight="1">
      <c r="D893" s="9"/>
    </row>
    <row r="894" ht="15.75" customHeight="1">
      <c r="D894" s="9"/>
    </row>
    <row r="895" ht="15.75" customHeight="1">
      <c r="D895" s="9"/>
    </row>
    <row r="896" ht="15.75" customHeight="1">
      <c r="D896" s="9"/>
    </row>
    <row r="897" ht="15.75" customHeight="1">
      <c r="D897" s="9"/>
    </row>
    <row r="898" ht="15.75" customHeight="1">
      <c r="D898" s="9"/>
    </row>
    <row r="899" ht="15.75" customHeight="1">
      <c r="D899" s="9"/>
    </row>
    <row r="900" ht="15.75" customHeight="1">
      <c r="D900" s="9"/>
    </row>
    <row r="901" ht="15.75" customHeight="1">
      <c r="D901" s="9"/>
    </row>
    <row r="902" ht="15.75" customHeight="1">
      <c r="D902" s="9"/>
    </row>
    <row r="903" ht="15.75" customHeight="1">
      <c r="D903" s="9"/>
    </row>
    <row r="904" ht="15.75" customHeight="1">
      <c r="D904" s="9"/>
    </row>
    <row r="905" ht="15.75" customHeight="1">
      <c r="D905" s="9"/>
    </row>
    <row r="906" ht="15.75" customHeight="1">
      <c r="D906" s="9"/>
    </row>
    <row r="907" ht="15.75" customHeight="1">
      <c r="D907" s="9"/>
    </row>
    <row r="908" ht="15.75" customHeight="1">
      <c r="D908" s="9"/>
    </row>
    <row r="909" ht="15.75" customHeight="1">
      <c r="D909" s="9"/>
    </row>
    <row r="910" ht="15.75" customHeight="1">
      <c r="D910" s="9"/>
    </row>
    <row r="911" ht="15.75" customHeight="1">
      <c r="D911" s="9"/>
    </row>
    <row r="912" ht="15.75" customHeight="1">
      <c r="D912" s="9"/>
    </row>
    <row r="913" ht="15.75" customHeight="1">
      <c r="D913" s="9"/>
    </row>
    <row r="914" ht="15.75" customHeight="1">
      <c r="D914" s="9"/>
    </row>
    <row r="915" ht="15.75" customHeight="1">
      <c r="D915" s="9"/>
    </row>
    <row r="916" ht="15.75" customHeight="1">
      <c r="D916" s="9"/>
    </row>
    <row r="917" ht="15.75" customHeight="1">
      <c r="D917" s="9"/>
    </row>
    <row r="918" ht="15.75" customHeight="1">
      <c r="D918" s="9"/>
    </row>
    <row r="919" ht="15.75" customHeight="1">
      <c r="D919" s="9"/>
    </row>
    <row r="920" ht="15.75" customHeight="1">
      <c r="D920" s="9"/>
    </row>
    <row r="921" ht="15.75" customHeight="1">
      <c r="D921" s="9"/>
    </row>
    <row r="922" ht="15.75" customHeight="1">
      <c r="D922" s="9"/>
    </row>
    <row r="923" ht="15.75" customHeight="1">
      <c r="D923" s="9"/>
    </row>
    <row r="924" ht="15.75" customHeight="1">
      <c r="D924" s="9"/>
    </row>
    <row r="925" ht="15.75" customHeight="1">
      <c r="D925" s="9"/>
    </row>
    <row r="926" ht="15.75" customHeight="1">
      <c r="D926" s="9"/>
    </row>
    <row r="927" ht="15.75" customHeight="1">
      <c r="D927" s="9"/>
    </row>
    <row r="928" ht="15.75" customHeight="1">
      <c r="D928" s="9"/>
    </row>
    <row r="929" ht="15.75" customHeight="1">
      <c r="D929" s="9"/>
    </row>
    <row r="930" ht="15.75" customHeight="1">
      <c r="D930" s="9"/>
    </row>
    <row r="931" ht="15.75" customHeight="1">
      <c r="D931" s="9"/>
    </row>
    <row r="932" ht="15.75" customHeight="1">
      <c r="D932" s="9"/>
    </row>
    <row r="933" ht="15.75" customHeight="1">
      <c r="D933" s="9"/>
    </row>
    <row r="934" ht="15.75" customHeight="1">
      <c r="D934" s="9"/>
    </row>
    <row r="935" ht="15.75" customHeight="1">
      <c r="D935" s="9"/>
    </row>
    <row r="936" ht="15.75" customHeight="1">
      <c r="D936" s="9"/>
    </row>
    <row r="937" ht="15.75" customHeight="1">
      <c r="D937" s="9"/>
    </row>
    <row r="938" ht="15.75" customHeight="1">
      <c r="D938" s="9"/>
    </row>
    <row r="939" ht="15.75" customHeight="1">
      <c r="D939" s="9"/>
    </row>
    <row r="940" ht="15.75" customHeight="1">
      <c r="D940" s="9"/>
    </row>
    <row r="941" ht="15.75" customHeight="1">
      <c r="D941" s="9"/>
    </row>
    <row r="942" ht="15.75" customHeight="1">
      <c r="D942" s="9"/>
    </row>
    <row r="943" ht="15.75" customHeight="1">
      <c r="D943" s="9"/>
    </row>
    <row r="944" ht="15.75" customHeight="1">
      <c r="D944" s="9"/>
    </row>
    <row r="945" ht="15.75" customHeight="1">
      <c r="D945" s="9"/>
    </row>
    <row r="946" ht="15.75" customHeight="1">
      <c r="D946" s="9"/>
    </row>
    <row r="947" ht="15.75" customHeight="1">
      <c r="D947" s="9"/>
    </row>
    <row r="948" ht="15.75" customHeight="1">
      <c r="D948" s="9"/>
    </row>
    <row r="949" ht="15.75" customHeight="1">
      <c r="D949" s="9"/>
    </row>
    <row r="950" ht="15.75" customHeight="1">
      <c r="D950" s="9"/>
    </row>
    <row r="951" ht="15.75" customHeight="1">
      <c r="D951" s="9"/>
    </row>
    <row r="952" ht="15.75" customHeight="1">
      <c r="D952" s="9"/>
    </row>
    <row r="953" ht="15.75" customHeight="1">
      <c r="D953" s="9"/>
    </row>
    <row r="954" ht="15.75" customHeight="1">
      <c r="D954" s="9"/>
    </row>
    <row r="955" ht="15.75" customHeight="1">
      <c r="D955" s="9"/>
    </row>
    <row r="956" ht="15.75" customHeight="1">
      <c r="D956" s="9"/>
    </row>
    <row r="957" ht="15.75" customHeight="1">
      <c r="D957" s="9"/>
    </row>
    <row r="958" ht="15.75" customHeight="1">
      <c r="D958" s="9"/>
    </row>
    <row r="959" ht="15.75" customHeight="1">
      <c r="D959" s="9"/>
    </row>
    <row r="960" ht="15.75" customHeight="1">
      <c r="D960" s="9"/>
    </row>
    <row r="961" ht="15.75" customHeight="1">
      <c r="D961" s="9"/>
    </row>
    <row r="962" ht="15.75" customHeight="1">
      <c r="D962" s="9"/>
    </row>
    <row r="963" ht="15.75" customHeight="1">
      <c r="D963" s="9"/>
    </row>
    <row r="964" ht="15.75" customHeight="1">
      <c r="D964" s="9"/>
    </row>
    <row r="965" ht="15.75" customHeight="1">
      <c r="D965" s="9"/>
    </row>
    <row r="966" ht="15.75" customHeight="1">
      <c r="D966" s="9"/>
    </row>
    <row r="967" ht="15.75" customHeight="1">
      <c r="D967" s="9"/>
    </row>
    <row r="968" ht="15.75" customHeight="1">
      <c r="D968" s="9"/>
    </row>
    <row r="969" ht="15.75" customHeight="1">
      <c r="D969" s="9"/>
    </row>
    <row r="970" ht="15.75" customHeight="1">
      <c r="D970" s="9"/>
    </row>
    <row r="971" ht="15.75" customHeight="1">
      <c r="D971" s="9"/>
    </row>
    <row r="972" ht="15.75" customHeight="1">
      <c r="D972" s="9"/>
    </row>
    <row r="973" ht="15.75" customHeight="1">
      <c r="D973" s="9"/>
    </row>
    <row r="974" ht="15.75" customHeight="1">
      <c r="D974" s="9"/>
    </row>
    <row r="975" ht="15.75" customHeight="1">
      <c r="D975" s="9"/>
    </row>
    <row r="976" ht="15.75" customHeight="1">
      <c r="D976" s="9"/>
    </row>
    <row r="977" ht="15.75" customHeight="1">
      <c r="D977" s="9"/>
    </row>
    <row r="978" ht="15.75" customHeight="1">
      <c r="D978" s="9"/>
    </row>
    <row r="979" ht="15.75" customHeight="1">
      <c r="D979" s="9"/>
    </row>
    <row r="980" ht="15.75" customHeight="1">
      <c r="D980" s="9"/>
    </row>
    <row r="981" ht="15.75" customHeight="1">
      <c r="D981" s="9"/>
    </row>
    <row r="982" ht="15.75" customHeight="1">
      <c r="D982" s="9"/>
    </row>
    <row r="983" ht="15.75" customHeight="1">
      <c r="D983" s="9"/>
    </row>
    <row r="984" ht="15.75" customHeight="1">
      <c r="D984" s="9"/>
    </row>
    <row r="985" ht="15.75" customHeight="1">
      <c r="D985" s="9"/>
    </row>
    <row r="986" ht="15.75" customHeight="1">
      <c r="D986" s="9"/>
    </row>
    <row r="987" ht="15.75" customHeight="1">
      <c r="D987" s="9"/>
    </row>
    <row r="988" ht="15.75" customHeight="1">
      <c r="D988" s="9"/>
    </row>
    <row r="989" ht="15.75" customHeight="1">
      <c r="D989" s="9"/>
    </row>
    <row r="990" ht="15.75" customHeight="1">
      <c r="D990" s="9"/>
    </row>
    <row r="991" ht="15.75" customHeight="1">
      <c r="D991" s="9"/>
    </row>
    <row r="992" ht="15.75" customHeight="1">
      <c r="D992" s="9"/>
    </row>
    <row r="993" ht="15.75" customHeight="1">
      <c r="D993" s="9"/>
    </row>
    <row r="994" ht="15.75" customHeight="1">
      <c r="D994" s="9"/>
    </row>
    <row r="995" ht="15.75" customHeight="1">
      <c r="D995" s="9"/>
    </row>
    <row r="996" ht="15.75" customHeight="1">
      <c r="D996" s="9"/>
    </row>
    <row r="997" ht="15.75" customHeight="1">
      <c r="D997" s="9"/>
    </row>
    <row r="998" ht="15.75" customHeight="1">
      <c r="D998" s="9"/>
    </row>
    <row r="999" ht="15.75" customHeight="1">
      <c r="D999" s="9"/>
    </row>
    <row r="1000" ht="15.75" customHeight="1">
      <c r="D1000" s="9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8.57"/>
    <col customWidth="1" min="3" max="3" width="19.29"/>
    <col customWidth="1" min="4" max="4" width="14.0"/>
    <col customWidth="1" min="5" max="5" width="9.29"/>
    <col customWidth="1" min="6" max="6" width="7.29"/>
    <col customWidth="1" min="7" max="7" width="14.29"/>
    <col customWidth="1" min="8" max="8" width="8.0"/>
    <col customWidth="1" min="9" max="22" width="9.29"/>
  </cols>
  <sheetData>
    <row r="1" ht="12.75" customHeight="1">
      <c r="A1" s="10" t="s">
        <v>485</v>
      </c>
      <c r="B1" s="10" t="s">
        <v>486</v>
      </c>
      <c r="C1" s="10"/>
      <c r="D1" s="1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11" t="s">
        <v>487</v>
      </c>
      <c r="B2" s="11">
        <v>40.0</v>
      </c>
      <c r="C2" s="11" t="str">
        <f t="shared" ref="C2:C8" si="1">IF(B2=0, "respinto", IF(B2=40, "SUFFICIENTE", IF(B2=60 ,"DISCRETO", IF(B2=70, "BUONO"))))</f>
        <v>SUFFICIENTE</v>
      </c>
      <c r="D2" s="11" t="str">
        <f t="shared" ref="D2:D8" si="2">VLOOKUP(B2,$C$21:$D$24, 2)</f>
        <v>sufficiente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11" t="s">
        <v>488</v>
      </c>
      <c r="B3" s="11">
        <v>60.0</v>
      </c>
      <c r="C3" s="11" t="str">
        <f t="shared" si="1"/>
        <v>DISCRETO</v>
      </c>
      <c r="D3" s="11" t="str">
        <f t="shared" si="2"/>
        <v>discreto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1" t="s">
        <v>489</v>
      </c>
      <c r="B4" s="11">
        <v>60.0</v>
      </c>
      <c r="C4" s="11" t="str">
        <f t="shared" si="1"/>
        <v>DISCRETO</v>
      </c>
      <c r="D4" s="11" t="str">
        <f t="shared" si="2"/>
        <v>discreto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1" t="s">
        <v>490</v>
      </c>
      <c r="B5" s="11">
        <v>40.0</v>
      </c>
      <c r="C5" s="11" t="str">
        <f t="shared" si="1"/>
        <v>SUFFICIENTE</v>
      </c>
      <c r="D5" s="11" t="str">
        <f t="shared" si="2"/>
        <v>sufficiente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11" t="s">
        <v>491</v>
      </c>
      <c r="B6" s="11">
        <v>70.0</v>
      </c>
      <c r="C6" s="11" t="str">
        <f t="shared" si="1"/>
        <v>BUONO</v>
      </c>
      <c r="D6" s="11" t="str">
        <f t="shared" si="2"/>
        <v>buono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11" t="s">
        <v>492</v>
      </c>
      <c r="B7" s="11">
        <v>0.0</v>
      </c>
      <c r="C7" s="11" t="str">
        <f t="shared" si="1"/>
        <v>respinto</v>
      </c>
      <c r="D7" s="11" t="str">
        <f t="shared" si="2"/>
        <v>respinto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11" t="s">
        <v>493</v>
      </c>
      <c r="B8" s="11">
        <v>0.0</v>
      </c>
      <c r="C8" s="11" t="str">
        <f t="shared" si="1"/>
        <v>respinto</v>
      </c>
      <c r="D8" s="11" t="str">
        <f t="shared" si="2"/>
        <v>respinto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1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13">
        <v>0.0</v>
      </c>
      <c r="D21" s="13" t="s">
        <v>494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13">
        <v>40.0</v>
      </c>
      <c r="D22" s="13" t="s">
        <v>495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13">
        <v>60.0</v>
      </c>
      <c r="D23" s="13" t="s">
        <v>496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13">
        <v>70.0</v>
      </c>
      <c r="D24" s="13" t="s">
        <v>497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28.29"/>
    <col customWidth="1" min="3" max="3" width="21.29"/>
    <col customWidth="1" min="4" max="4" width="18.0"/>
    <col customWidth="1" min="5" max="5" width="21.71"/>
    <col customWidth="1" min="6" max="6" width="25.0"/>
    <col customWidth="1" min="7" max="7" width="20.57"/>
    <col customWidth="1" min="8" max="9" width="8.71"/>
    <col customWidth="1" min="10" max="10" width="13.0"/>
    <col customWidth="1" min="11" max="24" width="8.71"/>
  </cols>
  <sheetData>
    <row r="1">
      <c r="A1" s="14" t="s">
        <v>498</v>
      </c>
      <c r="B1" s="14" t="s">
        <v>499</v>
      </c>
      <c r="C1" s="14" t="s">
        <v>500</v>
      </c>
      <c r="D1" s="15" t="s">
        <v>501</v>
      </c>
      <c r="E1" s="15" t="s">
        <v>502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ht="13.5" customHeight="1">
      <c r="A2" s="17">
        <v>36529.0</v>
      </c>
      <c r="B2" s="18" t="s">
        <v>503</v>
      </c>
      <c r="C2" s="18" t="s">
        <v>504</v>
      </c>
      <c r="D2" s="19">
        <v>50000.0</v>
      </c>
      <c r="E2" s="19">
        <v>16.0</v>
      </c>
      <c r="F2" s="16"/>
      <c r="G2" s="20" t="s">
        <v>504</v>
      </c>
      <c r="H2" s="21">
        <f t="shared" ref="H2:H5" si="1">COUNTIF($C$2:$C$80,G2)</f>
        <v>11</v>
      </c>
      <c r="I2" s="21">
        <f t="shared" ref="I2:I5" si="2">SUMIF($C:$C,G2,$D:$D)</f>
        <v>611780</v>
      </c>
    </row>
    <row r="3" ht="13.5" customHeight="1">
      <c r="A3" s="17">
        <v>36534.0</v>
      </c>
      <c r="B3" s="18" t="s">
        <v>505</v>
      </c>
      <c r="C3" s="18" t="s">
        <v>504</v>
      </c>
      <c r="D3" s="19">
        <v>29970.0</v>
      </c>
      <c r="E3" s="19">
        <v>29.0</v>
      </c>
      <c r="F3" s="16"/>
      <c r="G3" s="20" t="s">
        <v>506</v>
      </c>
      <c r="H3" s="21">
        <f t="shared" si="1"/>
        <v>5</v>
      </c>
      <c r="I3" s="21">
        <f t="shared" si="2"/>
        <v>30860</v>
      </c>
    </row>
    <row r="4" ht="13.5" customHeight="1">
      <c r="A4" s="17">
        <v>36537.0</v>
      </c>
      <c r="B4" s="18" t="s">
        <v>507</v>
      </c>
      <c r="C4" s="18" t="s">
        <v>508</v>
      </c>
      <c r="D4" s="19">
        <v>27560.0</v>
      </c>
      <c r="E4" s="19">
        <v>21.0</v>
      </c>
      <c r="F4" s="16"/>
      <c r="G4" s="20" t="s">
        <v>509</v>
      </c>
      <c r="H4" s="21">
        <f t="shared" si="1"/>
        <v>4</v>
      </c>
      <c r="I4" s="21">
        <f t="shared" si="2"/>
        <v>54000</v>
      </c>
    </row>
    <row r="5" ht="13.5" customHeight="1">
      <c r="A5" s="17">
        <v>36543.0</v>
      </c>
      <c r="B5" s="18" t="s">
        <v>510</v>
      </c>
      <c r="C5" s="18" t="s">
        <v>511</v>
      </c>
      <c r="D5" s="19">
        <v>43500.0</v>
      </c>
      <c r="E5" s="19">
        <v>29.0</v>
      </c>
      <c r="F5" s="16"/>
      <c r="G5" s="20" t="s">
        <v>512</v>
      </c>
      <c r="H5" s="21">
        <f t="shared" si="1"/>
        <v>4</v>
      </c>
      <c r="I5" s="21">
        <f t="shared" si="2"/>
        <v>6765600</v>
      </c>
    </row>
    <row r="6" ht="13.5" customHeight="1">
      <c r="A6" s="17">
        <v>36545.0</v>
      </c>
      <c r="B6" s="18" t="s">
        <v>513</v>
      </c>
      <c r="C6" s="18" t="s">
        <v>509</v>
      </c>
      <c r="D6" s="19">
        <v>13500.0</v>
      </c>
      <c r="E6" s="19">
        <v>15.0</v>
      </c>
      <c r="F6" s="16"/>
    </row>
    <row r="7" ht="13.5" customHeight="1">
      <c r="A7" s="17">
        <v>36547.0</v>
      </c>
      <c r="B7" s="18" t="s">
        <v>514</v>
      </c>
      <c r="C7" s="18" t="s">
        <v>515</v>
      </c>
      <c r="D7" s="19">
        <v>50800.0</v>
      </c>
      <c r="E7" s="19">
        <v>22.0</v>
      </c>
      <c r="F7" s="16"/>
    </row>
    <row r="8" ht="13.5" customHeight="1">
      <c r="A8" s="17">
        <v>36548.0</v>
      </c>
      <c r="B8" s="18" t="s">
        <v>516</v>
      </c>
      <c r="C8" s="18" t="s">
        <v>517</v>
      </c>
      <c r="D8" s="19">
        <v>98450.0</v>
      </c>
      <c r="E8" s="19">
        <v>21.0</v>
      </c>
      <c r="F8" s="16"/>
    </row>
    <row r="9" ht="13.5" customHeight="1">
      <c r="A9" s="17">
        <v>36551.0</v>
      </c>
      <c r="B9" s="18" t="s">
        <v>507</v>
      </c>
      <c r="C9" s="18" t="s">
        <v>508</v>
      </c>
      <c r="D9" s="19">
        <v>45890.0</v>
      </c>
      <c r="E9" s="19">
        <v>18.0</v>
      </c>
      <c r="F9" s="16"/>
      <c r="G9" s="20" t="s">
        <v>507</v>
      </c>
      <c r="H9" s="21">
        <f t="shared" ref="H9:H15" si="3">COUNTIF($B:$B,G9)</f>
        <v>2</v>
      </c>
      <c r="I9" s="21">
        <f t="shared" ref="I9:I15" si="4">SUMIF($B:$B,G9,$D:$D)</f>
        <v>73450</v>
      </c>
    </row>
    <row r="10" ht="13.5" customHeight="1">
      <c r="A10" s="17">
        <v>36552.0</v>
      </c>
      <c r="B10" s="18" t="s">
        <v>518</v>
      </c>
      <c r="C10" s="18" t="s">
        <v>519</v>
      </c>
      <c r="D10" s="19">
        <v>7950.0</v>
      </c>
      <c r="E10" s="19">
        <v>23.0</v>
      </c>
      <c r="F10" s="16"/>
      <c r="G10" s="20" t="s">
        <v>514</v>
      </c>
      <c r="H10" s="21">
        <f t="shared" si="3"/>
        <v>1</v>
      </c>
      <c r="I10" s="21">
        <f t="shared" si="4"/>
        <v>50800</v>
      </c>
    </row>
    <row r="11" ht="13.5" customHeight="1">
      <c r="A11" s="17">
        <v>36553.0</v>
      </c>
      <c r="B11" s="18" t="s">
        <v>520</v>
      </c>
      <c r="C11" s="18" t="s">
        <v>517</v>
      </c>
      <c r="D11" s="19">
        <v>87450.0</v>
      </c>
      <c r="E11" s="19">
        <v>24.0</v>
      </c>
      <c r="F11" s="16"/>
      <c r="G11" s="20" t="s">
        <v>516</v>
      </c>
      <c r="H11" s="21">
        <f t="shared" si="3"/>
        <v>1</v>
      </c>
      <c r="I11" s="21">
        <f t="shared" si="4"/>
        <v>98450</v>
      </c>
    </row>
    <row r="12" ht="13.5" customHeight="1">
      <c r="A12" s="17">
        <v>36554.0</v>
      </c>
      <c r="B12" s="18" t="s">
        <v>521</v>
      </c>
      <c r="C12" s="18" t="s">
        <v>522</v>
      </c>
      <c r="D12" s="19">
        <v>295000.0</v>
      </c>
      <c r="E12" s="19">
        <v>27.0</v>
      </c>
      <c r="F12" s="16"/>
      <c r="G12" s="20" t="s">
        <v>518</v>
      </c>
      <c r="H12" s="21">
        <f t="shared" si="3"/>
        <v>1</v>
      </c>
      <c r="I12" s="21">
        <f t="shared" si="4"/>
        <v>7950</v>
      </c>
    </row>
    <row r="13" ht="13.5" customHeight="1">
      <c r="A13" s="17">
        <v>36555.0</v>
      </c>
      <c r="B13" s="18" t="s">
        <v>510</v>
      </c>
      <c r="C13" s="18" t="s">
        <v>523</v>
      </c>
      <c r="D13" s="19">
        <v>348980.0</v>
      </c>
      <c r="E13" s="19">
        <v>15.0</v>
      </c>
      <c r="F13" s="16"/>
      <c r="G13" s="20" t="s">
        <v>524</v>
      </c>
      <c r="H13" s="21">
        <f t="shared" si="3"/>
        <v>4</v>
      </c>
      <c r="I13" s="21">
        <f t="shared" si="4"/>
        <v>283000</v>
      </c>
    </row>
    <row r="14" ht="13.5" customHeight="1">
      <c r="A14" s="17">
        <v>36558.0</v>
      </c>
      <c r="B14" s="18" t="s">
        <v>525</v>
      </c>
      <c r="C14" s="18" t="s">
        <v>526</v>
      </c>
      <c r="D14" s="19">
        <v>127490.0</v>
      </c>
      <c r="E14" s="19">
        <v>17.0</v>
      </c>
      <c r="F14" s="16"/>
      <c r="G14" s="20" t="s">
        <v>527</v>
      </c>
      <c r="H14" s="21">
        <f t="shared" si="3"/>
        <v>2</v>
      </c>
      <c r="I14" s="21">
        <f t="shared" si="4"/>
        <v>107700</v>
      </c>
    </row>
    <row r="15" ht="13.5" customHeight="1">
      <c r="A15" s="17">
        <v>36558.0</v>
      </c>
      <c r="B15" s="18" t="s">
        <v>528</v>
      </c>
      <c r="C15" s="18" t="s">
        <v>508</v>
      </c>
      <c r="D15" s="19">
        <v>49400.0</v>
      </c>
      <c r="E15" s="19">
        <v>13.0</v>
      </c>
      <c r="F15" s="16"/>
      <c r="G15" s="20" t="s">
        <v>529</v>
      </c>
      <c r="H15" s="21">
        <f t="shared" si="3"/>
        <v>1</v>
      </c>
      <c r="I15" s="21">
        <f t="shared" si="4"/>
        <v>27270</v>
      </c>
    </row>
    <row r="16" ht="13.5" customHeight="1">
      <c r="A16" s="17">
        <v>36573.0</v>
      </c>
      <c r="B16" s="18" t="s">
        <v>530</v>
      </c>
      <c r="C16" s="18" t="s">
        <v>531</v>
      </c>
      <c r="D16" s="19">
        <v>201000.0</v>
      </c>
      <c r="E16" s="19">
        <v>14.0</v>
      </c>
      <c r="F16" s="16"/>
    </row>
    <row r="17" ht="13.5" customHeight="1">
      <c r="A17" s="17">
        <v>36573.0</v>
      </c>
      <c r="B17" s="18" t="s">
        <v>532</v>
      </c>
      <c r="C17" s="18" t="s">
        <v>531</v>
      </c>
      <c r="D17" s="19">
        <v>1368000.0</v>
      </c>
      <c r="E17" s="19">
        <v>28.0</v>
      </c>
      <c r="F17" s="16"/>
    </row>
    <row r="18" ht="13.5" customHeight="1">
      <c r="A18" s="17">
        <v>36576.0</v>
      </c>
      <c r="B18" s="18" t="s">
        <v>533</v>
      </c>
      <c r="C18" s="18" t="s">
        <v>534</v>
      </c>
      <c r="D18" s="19">
        <v>36850.0</v>
      </c>
      <c r="E18" s="19">
        <v>16.0</v>
      </c>
      <c r="F18" s="16"/>
    </row>
    <row r="19" ht="13.5" customHeight="1">
      <c r="A19" s="17">
        <v>36580.0</v>
      </c>
      <c r="B19" s="18" t="s">
        <v>524</v>
      </c>
      <c r="C19" s="18" t="s">
        <v>504</v>
      </c>
      <c r="D19" s="19">
        <v>151500.0</v>
      </c>
      <c r="E19" s="19">
        <v>13.0</v>
      </c>
      <c r="F19" s="16"/>
    </row>
    <row r="20" ht="13.5" customHeight="1">
      <c r="A20" s="17">
        <v>36589.0</v>
      </c>
      <c r="B20" s="18" t="s">
        <v>513</v>
      </c>
      <c r="C20" s="18" t="s">
        <v>509</v>
      </c>
      <c r="D20" s="19">
        <v>13500.0</v>
      </c>
      <c r="E20" s="19">
        <v>20.0</v>
      </c>
      <c r="F20" s="16"/>
    </row>
    <row r="21" ht="13.5" customHeight="1">
      <c r="A21" s="17">
        <v>36593.0</v>
      </c>
      <c r="B21" s="18" t="s">
        <v>535</v>
      </c>
      <c r="C21" s="18" t="s">
        <v>536</v>
      </c>
      <c r="D21" s="19">
        <v>17000.0</v>
      </c>
      <c r="E21" s="19">
        <v>18.0</v>
      </c>
      <c r="F21" s="16"/>
    </row>
    <row r="22" ht="13.5" customHeight="1">
      <c r="A22" s="17">
        <v>36594.0</v>
      </c>
      <c r="B22" s="18" t="s">
        <v>527</v>
      </c>
      <c r="C22" s="18" t="s">
        <v>508</v>
      </c>
      <c r="D22" s="19">
        <v>35900.0</v>
      </c>
      <c r="E22" s="19">
        <v>16.0</v>
      </c>
      <c r="F22" s="16"/>
    </row>
    <row r="23" ht="13.5" customHeight="1">
      <c r="A23" s="17">
        <v>36594.0</v>
      </c>
      <c r="B23" s="18" t="s">
        <v>529</v>
      </c>
      <c r="C23" s="18" t="s">
        <v>537</v>
      </c>
      <c r="D23" s="19">
        <v>27270.0</v>
      </c>
      <c r="E23" s="19">
        <v>14.0</v>
      </c>
      <c r="F23" s="16"/>
    </row>
    <row r="24" ht="13.5" customHeight="1">
      <c r="A24" s="17">
        <v>36594.0</v>
      </c>
      <c r="B24" s="18" t="s">
        <v>538</v>
      </c>
      <c r="C24" s="18" t="s">
        <v>537</v>
      </c>
      <c r="D24" s="19">
        <v>13400.0</v>
      </c>
      <c r="E24" s="19">
        <v>14.0</v>
      </c>
      <c r="F24" s="16"/>
    </row>
    <row r="25" ht="13.5" customHeight="1">
      <c r="A25" s="17">
        <v>36595.0</v>
      </c>
      <c r="B25" s="18" t="s">
        <v>524</v>
      </c>
      <c r="C25" s="18" t="s">
        <v>504</v>
      </c>
      <c r="D25" s="19">
        <v>19000.0</v>
      </c>
      <c r="E25" s="19">
        <v>17.0</v>
      </c>
      <c r="F25" s="16"/>
    </row>
    <row r="26" ht="13.5" customHeight="1">
      <c r="A26" s="17">
        <v>36595.0</v>
      </c>
      <c r="B26" s="18" t="s">
        <v>527</v>
      </c>
      <c r="C26" s="18" t="s">
        <v>508</v>
      </c>
      <c r="D26" s="19">
        <v>71800.0</v>
      </c>
      <c r="E26" s="19">
        <v>18.0</v>
      </c>
      <c r="F26" s="16"/>
    </row>
    <row r="27" ht="13.5" customHeight="1">
      <c r="A27" s="17">
        <v>36595.0</v>
      </c>
      <c r="B27" s="18" t="s">
        <v>538</v>
      </c>
      <c r="C27" s="18" t="s">
        <v>537</v>
      </c>
      <c r="D27" s="19">
        <v>12280.0</v>
      </c>
      <c r="E27" s="19">
        <v>14.0</v>
      </c>
      <c r="F27" s="16"/>
    </row>
    <row r="28" ht="13.5" customHeight="1">
      <c r="A28" s="17">
        <v>36595.0</v>
      </c>
      <c r="B28" s="18" t="s">
        <v>538</v>
      </c>
      <c r="C28" s="18" t="s">
        <v>537</v>
      </c>
      <c r="D28" s="19">
        <v>14670.0</v>
      </c>
      <c r="E28" s="19">
        <v>17.0</v>
      </c>
      <c r="F28" s="16"/>
    </row>
    <row r="29" ht="13.5" customHeight="1">
      <c r="A29" s="17">
        <v>36596.0</v>
      </c>
      <c r="B29" s="18" t="s">
        <v>539</v>
      </c>
      <c r="C29" s="18" t="s">
        <v>504</v>
      </c>
      <c r="D29" s="19">
        <v>163500.0</v>
      </c>
      <c r="E29" s="19">
        <v>18.0</v>
      </c>
      <c r="F29" s="16"/>
    </row>
    <row r="30" ht="13.5" customHeight="1">
      <c r="A30" s="17">
        <v>36596.0</v>
      </c>
      <c r="B30" s="18" t="s">
        <v>540</v>
      </c>
      <c r="C30" s="18" t="s">
        <v>523</v>
      </c>
      <c r="D30" s="19">
        <v>183900.0</v>
      </c>
      <c r="E30" s="19">
        <v>26.0</v>
      </c>
      <c r="F30" s="16"/>
    </row>
    <row r="31" ht="13.5" customHeight="1">
      <c r="A31" s="17">
        <v>36596.0</v>
      </c>
      <c r="B31" s="18" t="s">
        <v>541</v>
      </c>
      <c r="C31" s="18" t="s">
        <v>542</v>
      </c>
      <c r="D31" s="19">
        <v>43500.0</v>
      </c>
      <c r="E31" s="19">
        <v>16.0</v>
      </c>
      <c r="F31" s="16"/>
    </row>
    <row r="32" ht="13.5" customHeight="1">
      <c r="A32" s="17">
        <v>36596.0</v>
      </c>
      <c r="B32" s="18" t="s">
        <v>543</v>
      </c>
      <c r="C32" s="18" t="s">
        <v>537</v>
      </c>
      <c r="D32" s="19">
        <v>10730.0</v>
      </c>
      <c r="E32" s="19">
        <v>17.0</v>
      </c>
      <c r="F32" s="16"/>
    </row>
    <row r="33" ht="13.5" customHeight="1">
      <c r="A33" s="17">
        <v>36596.0</v>
      </c>
      <c r="B33" s="18" t="s">
        <v>544</v>
      </c>
      <c r="C33" s="18" t="s">
        <v>537</v>
      </c>
      <c r="D33" s="19">
        <v>11210.0</v>
      </c>
      <c r="E33" s="19">
        <v>25.0</v>
      </c>
      <c r="F33" s="16"/>
    </row>
    <row r="34" ht="13.5" customHeight="1">
      <c r="A34" s="17">
        <v>36596.0</v>
      </c>
      <c r="B34" s="18" t="s">
        <v>545</v>
      </c>
      <c r="C34" s="18" t="s">
        <v>536</v>
      </c>
      <c r="D34" s="19">
        <v>127950.0</v>
      </c>
      <c r="E34" s="19">
        <v>20.0</v>
      </c>
      <c r="F34" s="16"/>
    </row>
    <row r="35" ht="13.5" customHeight="1">
      <c r="A35" s="17">
        <v>36597.0</v>
      </c>
      <c r="B35" s="18" t="s">
        <v>546</v>
      </c>
      <c r="C35" s="18" t="s">
        <v>547</v>
      </c>
      <c r="D35" s="19">
        <v>20000.0</v>
      </c>
      <c r="E35" s="19">
        <v>23.0</v>
      </c>
      <c r="F35" s="16"/>
    </row>
    <row r="36" ht="13.5" customHeight="1">
      <c r="A36" s="17">
        <v>36597.0</v>
      </c>
      <c r="B36" s="18" t="s">
        <v>548</v>
      </c>
      <c r="C36" s="18" t="s">
        <v>537</v>
      </c>
      <c r="D36" s="19">
        <v>7850.0</v>
      </c>
      <c r="E36" s="19">
        <v>25.0</v>
      </c>
      <c r="F36" s="16"/>
    </row>
    <row r="37" ht="13.5" customHeight="1">
      <c r="A37" s="17">
        <v>36598.0</v>
      </c>
      <c r="B37" s="18" t="s">
        <v>525</v>
      </c>
      <c r="C37" s="18" t="s">
        <v>526</v>
      </c>
      <c r="D37" s="19">
        <v>127490.0</v>
      </c>
      <c r="E37" s="19">
        <v>21.0</v>
      </c>
      <c r="F37" s="16"/>
    </row>
    <row r="38" ht="13.5" customHeight="1">
      <c r="A38" s="17">
        <v>36598.0</v>
      </c>
      <c r="B38" s="18" t="s">
        <v>549</v>
      </c>
      <c r="C38" s="18" t="s">
        <v>534</v>
      </c>
      <c r="D38" s="19">
        <v>3950.0</v>
      </c>
      <c r="E38" s="19">
        <v>17.0</v>
      </c>
      <c r="F38" s="16"/>
    </row>
    <row r="39" ht="13.5" customHeight="1">
      <c r="A39" s="17">
        <v>36598.0</v>
      </c>
      <c r="B39" s="18" t="s">
        <v>503</v>
      </c>
      <c r="C39" s="18" t="s">
        <v>550</v>
      </c>
      <c r="D39" s="19">
        <v>50000.0</v>
      </c>
      <c r="E39" s="19">
        <v>15.0</v>
      </c>
      <c r="F39" s="16"/>
    </row>
    <row r="40" ht="13.5" customHeight="1">
      <c r="A40" s="17">
        <v>36600.0</v>
      </c>
      <c r="B40" s="18" t="s">
        <v>551</v>
      </c>
      <c r="C40" s="18" t="s">
        <v>552</v>
      </c>
      <c r="D40" s="19">
        <v>16650.0</v>
      </c>
      <c r="E40" s="19">
        <v>24.0</v>
      </c>
      <c r="F40" s="16"/>
    </row>
    <row r="41" ht="13.5" customHeight="1">
      <c r="A41" s="17">
        <v>36603.0</v>
      </c>
      <c r="B41" s="18" t="s">
        <v>528</v>
      </c>
      <c r="C41" s="18" t="s">
        <v>508</v>
      </c>
      <c r="D41" s="19">
        <v>87300.0</v>
      </c>
      <c r="E41" s="19">
        <v>18.0</v>
      </c>
      <c r="F41" s="16"/>
    </row>
    <row r="42" ht="13.5" customHeight="1">
      <c r="A42" s="17">
        <v>36604.0</v>
      </c>
      <c r="B42" s="18" t="s">
        <v>553</v>
      </c>
      <c r="C42" s="18" t="s">
        <v>512</v>
      </c>
      <c r="D42" s="19">
        <v>2425000.0</v>
      </c>
      <c r="E42" s="19">
        <v>11.0</v>
      </c>
      <c r="F42" s="16"/>
    </row>
    <row r="43" ht="13.5" customHeight="1">
      <c r="A43" s="17">
        <v>36608.0</v>
      </c>
      <c r="B43" s="18" t="s">
        <v>554</v>
      </c>
      <c r="C43" s="18" t="s">
        <v>504</v>
      </c>
      <c r="D43" s="19">
        <v>18230.0</v>
      </c>
      <c r="E43" s="19">
        <v>21.0</v>
      </c>
      <c r="F43" s="16"/>
    </row>
    <row r="44" ht="13.5" customHeight="1">
      <c r="A44" s="17">
        <v>36609.0</v>
      </c>
      <c r="B44" s="18" t="s">
        <v>545</v>
      </c>
      <c r="C44" s="18" t="s">
        <v>536</v>
      </c>
      <c r="D44" s="19">
        <v>78530.0</v>
      </c>
      <c r="E44" s="19">
        <v>25.0</v>
      </c>
      <c r="F44" s="16"/>
    </row>
    <row r="45" ht="13.5" customHeight="1">
      <c r="A45" s="17">
        <v>36609.0</v>
      </c>
      <c r="B45" s="18" t="s">
        <v>555</v>
      </c>
      <c r="C45" s="18" t="s">
        <v>536</v>
      </c>
      <c r="D45" s="19">
        <v>21000.0</v>
      </c>
      <c r="E45" s="19">
        <v>18.0</v>
      </c>
      <c r="F45" s="16"/>
    </row>
    <row r="46" ht="13.5" customHeight="1">
      <c r="A46" s="17">
        <v>36612.0</v>
      </c>
      <c r="B46" s="18" t="s">
        <v>556</v>
      </c>
      <c r="C46" s="18" t="s">
        <v>557</v>
      </c>
      <c r="D46" s="19">
        <v>34900.0</v>
      </c>
      <c r="E46" s="19">
        <v>16.0</v>
      </c>
      <c r="F46" s="16"/>
    </row>
    <row r="47" ht="13.5" customHeight="1">
      <c r="A47" s="17">
        <v>36614.0</v>
      </c>
      <c r="B47" s="18" t="s">
        <v>549</v>
      </c>
      <c r="C47" s="18" t="s">
        <v>534</v>
      </c>
      <c r="D47" s="19">
        <v>8000.0</v>
      </c>
      <c r="E47" s="19">
        <v>22.0</v>
      </c>
      <c r="F47" s="16"/>
    </row>
    <row r="48" ht="13.5" customHeight="1">
      <c r="A48" s="17">
        <v>36614.0</v>
      </c>
      <c r="B48" s="18" t="s">
        <v>558</v>
      </c>
      <c r="C48" s="18" t="s">
        <v>508</v>
      </c>
      <c r="D48" s="19">
        <v>24660.0</v>
      </c>
      <c r="E48" s="19">
        <v>27.0</v>
      </c>
      <c r="F48" s="16"/>
    </row>
    <row r="49" ht="13.5" customHeight="1">
      <c r="A49" s="17">
        <v>36616.0</v>
      </c>
      <c r="B49" s="18" t="s">
        <v>559</v>
      </c>
      <c r="C49" s="18" t="s">
        <v>557</v>
      </c>
      <c r="D49" s="19">
        <v>22450.0</v>
      </c>
      <c r="E49" s="19">
        <v>18.0</v>
      </c>
      <c r="F49" s="16"/>
    </row>
    <row r="50" ht="13.5" customHeight="1">
      <c r="A50" s="17">
        <v>36622.0</v>
      </c>
      <c r="B50" s="18" t="s">
        <v>559</v>
      </c>
      <c r="C50" s="18" t="s">
        <v>557</v>
      </c>
      <c r="D50" s="19">
        <v>44950.0</v>
      </c>
      <c r="E50" s="19">
        <v>20.0</v>
      </c>
      <c r="F50" s="16"/>
    </row>
    <row r="51" ht="13.5" customHeight="1">
      <c r="A51" s="17">
        <v>36624.0</v>
      </c>
      <c r="B51" s="18" t="s">
        <v>560</v>
      </c>
      <c r="C51" s="18" t="s">
        <v>512</v>
      </c>
      <c r="D51" s="19">
        <v>55600.0</v>
      </c>
      <c r="E51" s="19">
        <v>11.0</v>
      </c>
      <c r="F51" s="16"/>
    </row>
    <row r="52" ht="13.5" customHeight="1">
      <c r="A52" s="17">
        <v>36629.0</v>
      </c>
      <c r="B52" s="18" t="s">
        <v>561</v>
      </c>
      <c r="C52" s="18" t="s">
        <v>562</v>
      </c>
      <c r="D52" s="19">
        <v>84500.0</v>
      </c>
      <c r="E52" s="19">
        <v>21.0</v>
      </c>
      <c r="F52" s="16"/>
    </row>
    <row r="53" ht="13.5" customHeight="1">
      <c r="A53" s="17">
        <v>36632.0</v>
      </c>
      <c r="B53" s="18" t="s">
        <v>539</v>
      </c>
      <c r="C53" s="18" t="s">
        <v>504</v>
      </c>
      <c r="D53" s="19">
        <v>51800.0</v>
      </c>
      <c r="E53" s="19">
        <v>21.0</v>
      </c>
      <c r="F53" s="16"/>
    </row>
    <row r="54" ht="13.5" customHeight="1">
      <c r="A54" s="17">
        <v>36632.0</v>
      </c>
      <c r="B54" s="18" t="s">
        <v>524</v>
      </c>
      <c r="C54" s="18" t="s">
        <v>504</v>
      </c>
      <c r="D54" s="19">
        <v>31000.0</v>
      </c>
      <c r="E54" s="19">
        <v>16.0</v>
      </c>
      <c r="F54" s="16"/>
    </row>
    <row r="55" ht="13.5" customHeight="1">
      <c r="A55" s="17">
        <v>36637.0</v>
      </c>
      <c r="B55" s="18" t="s">
        <v>524</v>
      </c>
      <c r="C55" s="18" t="s">
        <v>504</v>
      </c>
      <c r="D55" s="19">
        <v>81500.0</v>
      </c>
      <c r="E55" s="19">
        <v>25.0</v>
      </c>
      <c r="F55" s="16"/>
    </row>
    <row r="56" ht="13.5" customHeight="1">
      <c r="A56" s="17">
        <v>36637.0</v>
      </c>
      <c r="B56" s="18" t="s">
        <v>540</v>
      </c>
      <c r="C56" s="18" t="s">
        <v>523</v>
      </c>
      <c r="D56" s="19">
        <v>183900.0</v>
      </c>
      <c r="E56" s="19">
        <v>18.0</v>
      </c>
      <c r="F56" s="16"/>
    </row>
    <row r="57" ht="13.5" customHeight="1">
      <c r="A57" s="17">
        <v>36637.0</v>
      </c>
      <c r="B57" s="18" t="s">
        <v>513</v>
      </c>
      <c r="C57" s="18" t="s">
        <v>509</v>
      </c>
      <c r="D57" s="19">
        <v>13500.0</v>
      </c>
      <c r="E57" s="19">
        <v>18.0</v>
      </c>
      <c r="F57" s="16"/>
    </row>
    <row r="58" ht="13.5" customHeight="1">
      <c r="A58" s="17">
        <v>36638.0</v>
      </c>
      <c r="B58" s="18" t="s">
        <v>563</v>
      </c>
      <c r="C58" s="18" t="s">
        <v>506</v>
      </c>
      <c r="D58" s="19">
        <v>2010.0</v>
      </c>
      <c r="E58" s="19">
        <v>21.0</v>
      </c>
      <c r="F58" s="16"/>
    </row>
    <row r="59" ht="13.5" customHeight="1">
      <c r="A59" s="17">
        <v>36640.0</v>
      </c>
      <c r="B59" s="18" t="s">
        <v>564</v>
      </c>
      <c r="C59" s="18" t="s">
        <v>557</v>
      </c>
      <c r="D59" s="19">
        <v>36300.0</v>
      </c>
      <c r="E59" s="19">
        <v>23.0</v>
      </c>
      <c r="F59" s="16"/>
    </row>
    <row r="60" ht="13.5" customHeight="1">
      <c r="A60" s="17">
        <v>36642.0</v>
      </c>
      <c r="B60" s="18" t="s">
        <v>554</v>
      </c>
      <c r="C60" s="18" t="s">
        <v>504</v>
      </c>
      <c r="D60" s="19">
        <v>7640.0</v>
      </c>
      <c r="E60" s="19">
        <v>20.0</v>
      </c>
      <c r="F60" s="16"/>
    </row>
    <row r="61" ht="13.5" customHeight="1">
      <c r="A61" s="17">
        <v>36644.0</v>
      </c>
      <c r="B61" s="18" t="s">
        <v>535</v>
      </c>
      <c r="C61" s="18" t="s">
        <v>536</v>
      </c>
      <c r="D61" s="19">
        <v>18000.0</v>
      </c>
      <c r="E61" s="19">
        <v>21.0</v>
      </c>
      <c r="F61" s="16"/>
    </row>
    <row r="62" ht="13.5" customHeight="1">
      <c r="A62" s="17">
        <v>36645.0</v>
      </c>
      <c r="B62" s="18" t="s">
        <v>563</v>
      </c>
      <c r="C62" s="18" t="s">
        <v>506</v>
      </c>
      <c r="D62" s="19">
        <v>8730.0</v>
      </c>
      <c r="E62" s="19">
        <v>18.0</v>
      </c>
      <c r="F62" s="16"/>
    </row>
    <row r="63" ht="13.5" customHeight="1">
      <c r="A63" s="17">
        <v>36645.0</v>
      </c>
      <c r="B63" s="18" t="s">
        <v>535</v>
      </c>
      <c r="C63" s="18" t="s">
        <v>536</v>
      </c>
      <c r="D63" s="19">
        <v>19000.0</v>
      </c>
      <c r="E63" s="19">
        <v>12.0</v>
      </c>
      <c r="F63" s="16"/>
    </row>
    <row r="64" ht="13.5" customHeight="1">
      <c r="A64" s="17">
        <v>36649.0</v>
      </c>
      <c r="B64" s="18" t="s">
        <v>553</v>
      </c>
      <c r="C64" s="18" t="s">
        <v>512</v>
      </c>
      <c r="D64" s="19">
        <v>2425000.0</v>
      </c>
      <c r="E64" s="19">
        <v>21.0</v>
      </c>
      <c r="F64" s="16"/>
    </row>
    <row r="65" ht="13.5" customHeight="1">
      <c r="A65" s="17">
        <v>36651.0</v>
      </c>
      <c r="B65" s="18" t="s">
        <v>553</v>
      </c>
      <c r="C65" s="18" t="s">
        <v>512</v>
      </c>
      <c r="D65" s="19">
        <v>1860000.0</v>
      </c>
      <c r="E65" s="19">
        <v>19.0</v>
      </c>
      <c r="F65" s="16"/>
    </row>
    <row r="66" ht="13.5" customHeight="1">
      <c r="A66" s="17">
        <v>36652.0</v>
      </c>
      <c r="B66" s="18" t="s">
        <v>565</v>
      </c>
      <c r="C66" s="18" t="s">
        <v>506</v>
      </c>
      <c r="D66" s="19">
        <v>6570.0</v>
      </c>
      <c r="E66" s="19">
        <v>13.0</v>
      </c>
      <c r="F66" s="16"/>
    </row>
    <row r="67" ht="13.5" customHeight="1">
      <c r="A67" s="17">
        <v>36653.0</v>
      </c>
      <c r="B67" s="18" t="s">
        <v>566</v>
      </c>
      <c r="C67" s="18" t="s">
        <v>567</v>
      </c>
      <c r="D67" s="19">
        <v>14000.0</v>
      </c>
      <c r="E67" s="19">
        <v>16.0</v>
      </c>
      <c r="F67" s="16"/>
    </row>
    <row r="68" ht="13.5" customHeight="1">
      <c r="A68" s="17">
        <v>36665.0</v>
      </c>
      <c r="B68" s="18" t="s">
        <v>568</v>
      </c>
      <c r="C68" s="18" t="s">
        <v>511</v>
      </c>
      <c r="D68" s="19">
        <v>29980.0</v>
      </c>
      <c r="E68" s="19">
        <v>19.0</v>
      </c>
      <c r="F68" s="16"/>
    </row>
    <row r="69" ht="13.5" customHeight="1">
      <c r="A69" s="17">
        <v>36666.0</v>
      </c>
      <c r="B69" s="18" t="s">
        <v>569</v>
      </c>
      <c r="C69" s="18" t="s">
        <v>508</v>
      </c>
      <c r="D69" s="19">
        <v>17950.0</v>
      </c>
      <c r="E69" s="19">
        <v>17.0</v>
      </c>
      <c r="F69" s="16"/>
    </row>
    <row r="70" ht="13.5" customHeight="1">
      <c r="A70" s="17">
        <v>36666.0</v>
      </c>
      <c r="B70" s="18" t="s">
        <v>558</v>
      </c>
      <c r="C70" s="18" t="s">
        <v>508</v>
      </c>
      <c r="D70" s="19">
        <v>32320.0</v>
      </c>
      <c r="E70" s="19">
        <v>20.0</v>
      </c>
      <c r="F70" s="16"/>
    </row>
    <row r="71" ht="13.5" customHeight="1">
      <c r="A71" s="17">
        <v>36667.0</v>
      </c>
      <c r="B71" s="18" t="s">
        <v>570</v>
      </c>
      <c r="C71" s="18" t="s">
        <v>550</v>
      </c>
      <c r="D71" s="19">
        <v>27350.0</v>
      </c>
      <c r="E71" s="19">
        <v>19.0</v>
      </c>
      <c r="F71" s="16"/>
    </row>
    <row r="72" ht="13.5" customHeight="1">
      <c r="A72" s="17">
        <v>36672.0</v>
      </c>
      <c r="B72" s="18" t="s">
        <v>566</v>
      </c>
      <c r="C72" s="18" t="s">
        <v>567</v>
      </c>
      <c r="D72" s="19">
        <v>15000.0</v>
      </c>
      <c r="E72" s="19">
        <v>20.0</v>
      </c>
      <c r="F72" s="16"/>
    </row>
    <row r="73" ht="13.5" customHeight="1">
      <c r="A73" s="17">
        <v>36681.0</v>
      </c>
      <c r="B73" s="18" t="s">
        <v>513</v>
      </c>
      <c r="C73" s="18" t="s">
        <v>509</v>
      </c>
      <c r="D73" s="19">
        <v>13500.0</v>
      </c>
      <c r="E73" s="19">
        <v>21.0</v>
      </c>
      <c r="F73" s="16"/>
    </row>
    <row r="74" ht="13.5" customHeight="1">
      <c r="A74" s="17">
        <v>36682.0</v>
      </c>
      <c r="B74" s="18" t="s">
        <v>565</v>
      </c>
      <c r="C74" s="18" t="s">
        <v>506</v>
      </c>
      <c r="D74" s="19">
        <v>8600.0</v>
      </c>
      <c r="E74" s="19">
        <v>22.0</v>
      </c>
      <c r="F74" s="16"/>
    </row>
    <row r="75" ht="13.5" customHeight="1">
      <c r="A75" s="17">
        <v>36685.0</v>
      </c>
      <c r="B75" s="18" t="s">
        <v>510</v>
      </c>
      <c r="C75" s="18" t="s">
        <v>511</v>
      </c>
      <c r="D75" s="19">
        <v>15980.0</v>
      </c>
      <c r="E75" s="19">
        <v>14.0</v>
      </c>
      <c r="F75" s="16"/>
    </row>
    <row r="76" ht="13.5" customHeight="1">
      <c r="A76" s="17">
        <v>36686.0</v>
      </c>
      <c r="B76" s="18" t="s">
        <v>554</v>
      </c>
      <c r="C76" s="18" t="s">
        <v>504</v>
      </c>
      <c r="D76" s="19">
        <v>7640.0</v>
      </c>
      <c r="E76" s="19">
        <v>22.0</v>
      </c>
      <c r="F76" s="16"/>
    </row>
    <row r="77" ht="13.5" customHeight="1">
      <c r="A77" s="17">
        <v>36697.0</v>
      </c>
      <c r="B77" s="18" t="s">
        <v>571</v>
      </c>
      <c r="C77" s="18" t="s">
        <v>534</v>
      </c>
      <c r="D77" s="19">
        <v>40650.0</v>
      </c>
      <c r="E77" s="19">
        <v>17.0</v>
      </c>
      <c r="F77" s="16"/>
    </row>
    <row r="78" ht="13.5" customHeight="1">
      <c r="A78" s="17">
        <v>36700.0</v>
      </c>
      <c r="B78" s="18" t="s">
        <v>572</v>
      </c>
      <c r="C78" s="18" t="s">
        <v>508</v>
      </c>
      <c r="D78" s="19">
        <v>50280.0</v>
      </c>
      <c r="E78" s="19">
        <v>20.0</v>
      </c>
      <c r="F78" s="16"/>
    </row>
    <row r="79" ht="13.5" customHeight="1">
      <c r="A79" s="17">
        <v>36700.0</v>
      </c>
      <c r="B79" s="18" t="s">
        <v>572</v>
      </c>
      <c r="C79" s="18" t="s">
        <v>508</v>
      </c>
      <c r="D79" s="19">
        <v>1050.0</v>
      </c>
      <c r="E79" s="19">
        <v>21.0</v>
      </c>
      <c r="F79" s="16"/>
    </row>
    <row r="80" ht="13.5" customHeight="1">
      <c r="A80" s="17">
        <v>36705.0</v>
      </c>
      <c r="B80" s="18" t="s">
        <v>573</v>
      </c>
      <c r="C80" s="18" t="s">
        <v>506</v>
      </c>
      <c r="D80" s="19">
        <v>4950.0</v>
      </c>
      <c r="E80" s="19">
        <v>28.0</v>
      </c>
      <c r="F80" s="16"/>
    </row>
    <row r="81" ht="13.5" customHeight="1">
      <c r="D81" s="19"/>
      <c r="E81" s="19"/>
    </row>
    <row r="82" ht="13.5" customHeight="1">
      <c r="D82" s="19"/>
      <c r="E82" s="19"/>
    </row>
    <row r="83" ht="13.5" customHeight="1">
      <c r="D83" s="19"/>
      <c r="E83" s="19"/>
    </row>
    <row r="84" ht="13.5" customHeight="1">
      <c r="D84" s="19"/>
      <c r="E84" s="19"/>
    </row>
    <row r="85" ht="13.5" customHeight="1">
      <c r="D85" s="19"/>
      <c r="E85" s="19"/>
    </row>
    <row r="86" ht="13.5" customHeight="1">
      <c r="D86" s="19"/>
      <c r="E86" s="19"/>
    </row>
    <row r="87" ht="13.5" customHeight="1">
      <c r="D87" s="19"/>
      <c r="E87" s="19"/>
    </row>
    <row r="88" ht="13.5" customHeight="1">
      <c r="D88" s="19"/>
      <c r="E88" s="19"/>
    </row>
    <row r="89" ht="13.5" customHeight="1">
      <c r="D89" s="19"/>
      <c r="E89" s="19"/>
    </row>
    <row r="90" ht="13.5" customHeight="1">
      <c r="D90" s="19"/>
      <c r="E90" s="19"/>
    </row>
    <row r="91" ht="13.5" customHeight="1">
      <c r="D91" s="19"/>
      <c r="E91" s="19"/>
    </row>
    <row r="92" ht="13.5" customHeight="1">
      <c r="D92" s="19"/>
      <c r="E92" s="19"/>
    </row>
    <row r="93" ht="13.5" customHeight="1">
      <c r="D93" s="19"/>
      <c r="E93" s="19"/>
    </row>
    <row r="94" ht="13.5" customHeight="1">
      <c r="D94" s="19"/>
      <c r="E94" s="19"/>
    </row>
    <row r="95" ht="13.5" customHeight="1">
      <c r="D95" s="19"/>
      <c r="E95" s="19"/>
    </row>
    <row r="96" ht="13.5" customHeight="1">
      <c r="D96" s="19"/>
      <c r="E96" s="19"/>
    </row>
    <row r="97" ht="13.5" customHeight="1">
      <c r="D97" s="19"/>
      <c r="E97" s="19"/>
    </row>
    <row r="98" ht="13.5" customHeight="1">
      <c r="D98" s="19"/>
      <c r="E98" s="19"/>
    </row>
    <row r="99" ht="13.5" customHeight="1">
      <c r="D99" s="19"/>
      <c r="E99" s="19"/>
    </row>
    <row r="100" ht="13.5" customHeight="1">
      <c r="D100" s="19"/>
      <c r="E100" s="19"/>
    </row>
    <row r="101" ht="13.5" customHeight="1">
      <c r="D101" s="19"/>
      <c r="E101" s="19"/>
    </row>
    <row r="102" ht="13.5" customHeight="1">
      <c r="D102" s="19"/>
      <c r="E102" s="19"/>
    </row>
    <row r="103" ht="13.5" customHeight="1">
      <c r="D103" s="19"/>
      <c r="E103" s="19"/>
    </row>
    <row r="104" ht="13.5" customHeight="1">
      <c r="D104" s="19"/>
      <c r="E104" s="19"/>
    </row>
    <row r="105" ht="13.5" customHeight="1">
      <c r="D105" s="19"/>
      <c r="E105" s="19"/>
    </row>
    <row r="106" ht="13.5" customHeight="1">
      <c r="D106" s="19"/>
      <c r="E106" s="19"/>
    </row>
    <row r="107" ht="13.5" customHeight="1">
      <c r="D107" s="19"/>
      <c r="E107" s="19"/>
    </row>
    <row r="108" ht="13.5" customHeight="1">
      <c r="D108" s="19"/>
      <c r="E108" s="19"/>
    </row>
    <row r="109" ht="13.5" customHeight="1">
      <c r="D109" s="19"/>
      <c r="E109" s="19"/>
    </row>
    <row r="110" ht="13.5" customHeight="1">
      <c r="D110" s="19"/>
      <c r="E110" s="19"/>
    </row>
    <row r="111" ht="13.5" customHeight="1">
      <c r="D111" s="19"/>
      <c r="E111" s="19"/>
    </row>
    <row r="112" ht="13.5" customHeight="1">
      <c r="D112" s="19"/>
      <c r="E112" s="19"/>
    </row>
    <row r="113" ht="13.5" customHeight="1">
      <c r="D113" s="19"/>
      <c r="E113" s="19"/>
    </row>
    <row r="114" ht="13.5" customHeight="1">
      <c r="D114" s="19"/>
      <c r="E114" s="19"/>
    </row>
    <row r="115" ht="13.5" customHeight="1">
      <c r="D115" s="19"/>
      <c r="E115" s="19"/>
    </row>
    <row r="116" ht="13.5" customHeight="1">
      <c r="D116" s="19"/>
      <c r="E116" s="19"/>
    </row>
    <row r="117" ht="13.5" customHeight="1">
      <c r="D117" s="19"/>
      <c r="E117" s="19"/>
    </row>
    <row r="118" ht="13.5" customHeight="1">
      <c r="D118" s="19"/>
      <c r="E118" s="19"/>
    </row>
    <row r="119" ht="13.5" customHeight="1">
      <c r="D119" s="19"/>
      <c r="E119" s="19"/>
    </row>
    <row r="120" ht="13.5" customHeight="1">
      <c r="D120" s="19"/>
      <c r="E120" s="19"/>
    </row>
    <row r="121" ht="13.5" customHeight="1">
      <c r="D121" s="19"/>
      <c r="E121" s="19"/>
    </row>
    <row r="122" ht="13.5" customHeight="1">
      <c r="D122" s="19"/>
      <c r="E122" s="19"/>
    </row>
    <row r="123" ht="13.5" customHeight="1">
      <c r="D123" s="19"/>
      <c r="E123" s="19"/>
    </row>
    <row r="124" ht="13.5" customHeight="1">
      <c r="D124" s="19"/>
      <c r="E124" s="19"/>
    </row>
    <row r="125" ht="13.5" customHeight="1">
      <c r="D125" s="19"/>
      <c r="E125" s="19"/>
    </row>
    <row r="126" ht="13.5" customHeight="1">
      <c r="D126" s="19"/>
      <c r="E126" s="19"/>
    </row>
    <row r="127" ht="13.5" customHeight="1">
      <c r="D127" s="19"/>
      <c r="E127" s="19"/>
    </row>
    <row r="128" ht="13.5" customHeight="1">
      <c r="D128" s="19"/>
      <c r="E128" s="19"/>
    </row>
    <row r="129" ht="13.5" customHeight="1">
      <c r="D129" s="19"/>
      <c r="E129" s="19"/>
    </row>
    <row r="130" ht="13.5" customHeight="1">
      <c r="D130" s="19"/>
      <c r="E130" s="19"/>
    </row>
    <row r="131" ht="13.5" customHeight="1">
      <c r="D131" s="19"/>
      <c r="E131" s="19"/>
    </row>
    <row r="132" ht="13.5" customHeight="1">
      <c r="D132" s="19"/>
      <c r="E132" s="19"/>
    </row>
    <row r="133" ht="13.5" customHeight="1">
      <c r="D133" s="19"/>
      <c r="E133" s="19"/>
    </row>
    <row r="134" ht="13.5" customHeight="1">
      <c r="D134" s="19"/>
      <c r="E134" s="19"/>
    </row>
    <row r="135" ht="13.5" customHeight="1">
      <c r="D135" s="19"/>
      <c r="E135" s="19"/>
    </row>
    <row r="136" ht="13.5" customHeight="1">
      <c r="D136" s="19"/>
      <c r="E136" s="19"/>
    </row>
    <row r="137" ht="13.5" customHeight="1">
      <c r="D137" s="19"/>
      <c r="E137" s="19"/>
    </row>
    <row r="138" ht="13.5" customHeight="1">
      <c r="D138" s="19"/>
      <c r="E138" s="19"/>
    </row>
    <row r="139" ht="13.5" customHeight="1">
      <c r="D139" s="19"/>
      <c r="E139" s="19"/>
    </row>
    <row r="140" ht="13.5" customHeight="1">
      <c r="D140" s="19"/>
      <c r="E140" s="19"/>
    </row>
    <row r="141" ht="13.5" customHeight="1">
      <c r="D141" s="19"/>
      <c r="E141" s="19"/>
    </row>
    <row r="142" ht="13.5" customHeight="1">
      <c r="D142" s="19"/>
      <c r="E142" s="19"/>
    </row>
    <row r="143" ht="13.5" customHeight="1">
      <c r="D143" s="19"/>
      <c r="E143" s="19"/>
    </row>
    <row r="144" ht="13.5" customHeight="1">
      <c r="D144" s="19"/>
      <c r="E144" s="19"/>
    </row>
    <row r="145" ht="13.5" customHeight="1">
      <c r="D145" s="19"/>
      <c r="E145" s="19"/>
    </row>
    <row r="146" ht="13.5" customHeight="1">
      <c r="D146" s="19"/>
      <c r="E146" s="19"/>
    </row>
    <row r="147" ht="13.5" customHeight="1">
      <c r="D147" s="19"/>
      <c r="E147" s="19"/>
    </row>
    <row r="148" ht="13.5" customHeight="1">
      <c r="D148" s="19"/>
      <c r="E148" s="19"/>
    </row>
    <row r="149" ht="13.5" customHeight="1">
      <c r="D149" s="19"/>
      <c r="E149" s="19"/>
    </row>
    <row r="150" ht="13.5" customHeight="1">
      <c r="D150" s="19"/>
      <c r="E150" s="19"/>
    </row>
    <row r="151" ht="13.5" customHeight="1">
      <c r="D151" s="19"/>
      <c r="E151" s="19"/>
    </row>
    <row r="152" ht="13.5" customHeight="1">
      <c r="D152" s="19"/>
      <c r="E152" s="19"/>
    </row>
    <row r="153" ht="13.5" customHeight="1">
      <c r="D153" s="19"/>
      <c r="E153" s="19"/>
    </row>
    <row r="154" ht="13.5" customHeight="1">
      <c r="D154" s="19"/>
      <c r="E154" s="19"/>
    </row>
    <row r="155" ht="13.5" customHeight="1">
      <c r="D155" s="19"/>
      <c r="E155" s="19"/>
    </row>
    <row r="156" ht="13.5" customHeight="1">
      <c r="D156" s="19"/>
      <c r="E156" s="19"/>
    </row>
    <row r="157" ht="13.5" customHeight="1">
      <c r="D157" s="19"/>
      <c r="E157" s="19"/>
    </row>
    <row r="158" ht="13.5" customHeight="1">
      <c r="D158" s="19"/>
      <c r="E158" s="19"/>
    </row>
    <row r="159" ht="13.5" customHeight="1">
      <c r="D159" s="19"/>
      <c r="E159" s="19"/>
    </row>
    <row r="160" ht="13.5" customHeight="1">
      <c r="D160" s="19"/>
      <c r="E160" s="19"/>
    </row>
    <row r="161" ht="13.5" customHeight="1">
      <c r="D161" s="19"/>
      <c r="E161" s="19"/>
    </row>
    <row r="162" ht="13.5" customHeight="1">
      <c r="D162" s="19"/>
      <c r="E162" s="19"/>
    </row>
    <row r="163" ht="13.5" customHeight="1">
      <c r="D163" s="19"/>
      <c r="E163" s="19"/>
    </row>
    <row r="164" ht="13.5" customHeight="1">
      <c r="D164" s="19"/>
      <c r="E164" s="19"/>
    </row>
    <row r="165" ht="13.5" customHeight="1">
      <c r="D165" s="19"/>
      <c r="E165" s="19"/>
    </row>
    <row r="166" ht="13.5" customHeight="1">
      <c r="D166" s="19"/>
      <c r="E166" s="19"/>
    </row>
    <row r="167" ht="13.5" customHeight="1">
      <c r="D167" s="19"/>
      <c r="E167" s="19"/>
    </row>
    <row r="168" ht="13.5" customHeight="1">
      <c r="D168" s="19"/>
      <c r="E168" s="19"/>
    </row>
    <row r="169" ht="13.5" customHeight="1">
      <c r="D169" s="19"/>
      <c r="E169" s="19"/>
    </row>
    <row r="170" ht="13.5" customHeight="1">
      <c r="D170" s="19"/>
      <c r="E170" s="19"/>
    </row>
    <row r="171" ht="13.5" customHeight="1">
      <c r="D171" s="19"/>
      <c r="E171" s="19"/>
    </row>
    <row r="172" ht="13.5" customHeight="1">
      <c r="D172" s="19"/>
      <c r="E172" s="19"/>
    </row>
    <row r="173" ht="13.5" customHeight="1">
      <c r="D173" s="19"/>
      <c r="E173" s="19"/>
    </row>
    <row r="174" ht="13.5" customHeight="1">
      <c r="D174" s="19"/>
      <c r="E174" s="19"/>
    </row>
    <row r="175" ht="13.5" customHeight="1">
      <c r="D175" s="19"/>
      <c r="E175" s="19"/>
    </row>
    <row r="176" ht="13.5" customHeight="1">
      <c r="D176" s="19"/>
      <c r="E176" s="19"/>
    </row>
    <row r="177" ht="13.5" customHeight="1">
      <c r="D177" s="19"/>
      <c r="E177" s="19"/>
    </row>
    <row r="178" ht="13.5" customHeight="1">
      <c r="D178" s="19"/>
      <c r="E178" s="19"/>
    </row>
    <row r="179" ht="13.5" customHeight="1">
      <c r="D179" s="19"/>
      <c r="E179" s="19"/>
    </row>
    <row r="180" ht="13.5" customHeight="1">
      <c r="D180" s="19"/>
      <c r="E180" s="19"/>
    </row>
    <row r="181" ht="13.5" customHeight="1">
      <c r="D181" s="19"/>
      <c r="E181" s="19"/>
    </row>
    <row r="182" ht="13.5" customHeight="1">
      <c r="D182" s="19"/>
      <c r="E182" s="19"/>
    </row>
    <row r="183" ht="13.5" customHeight="1">
      <c r="D183" s="19"/>
      <c r="E183" s="19"/>
    </row>
    <row r="184" ht="13.5" customHeight="1">
      <c r="D184" s="19"/>
      <c r="E184" s="19"/>
    </row>
    <row r="185" ht="13.5" customHeight="1">
      <c r="D185" s="19"/>
      <c r="E185" s="19"/>
    </row>
    <row r="186" ht="13.5" customHeight="1">
      <c r="D186" s="19"/>
      <c r="E186" s="19"/>
    </row>
    <row r="187" ht="13.5" customHeight="1">
      <c r="D187" s="19"/>
      <c r="E187" s="19"/>
    </row>
    <row r="188" ht="13.5" customHeight="1">
      <c r="D188" s="19"/>
      <c r="E188" s="19"/>
    </row>
    <row r="189" ht="13.5" customHeight="1">
      <c r="D189" s="19"/>
      <c r="E189" s="19"/>
    </row>
    <row r="190" ht="13.5" customHeight="1">
      <c r="D190" s="19"/>
      <c r="E190" s="19"/>
    </row>
    <row r="191" ht="13.5" customHeight="1">
      <c r="D191" s="19"/>
      <c r="E191" s="19"/>
    </row>
    <row r="192" ht="13.5" customHeight="1">
      <c r="D192" s="19"/>
      <c r="E192" s="19"/>
    </row>
    <row r="193" ht="13.5" customHeight="1">
      <c r="D193" s="19"/>
      <c r="E193" s="19"/>
    </row>
    <row r="194" ht="13.5" customHeight="1">
      <c r="D194" s="19"/>
      <c r="E194" s="19"/>
    </row>
    <row r="195" ht="13.5" customHeight="1">
      <c r="D195" s="19"/>
      <c r="E195" s="19"/>
    </row>
    <row r="196" ht="13.5" customHeight="1">
      <c r="D196" s="19"/>
      <c r="E196" s="19"/>
    </row>
    <row r="197" ht="13.5" customHeight="1">
      <c r="D197" s="19"/>
      <c r="E197" s="19"/>
    </row>
    <row r="198" ht="13.5" customHeight="1">
      <c r="D198" s="19"/>
      <c r="E198" s="19"/>
    </row>
    <row r="199" ht="13.5" customHeight="1">
      <c r="D199" s="19"/>
      <c r="E199" s="19"/>
    </row>
    <row r="200" ht="13.5" customHeight="1">
      <c r="D200" s="19"/>
      <c r="E200" s="19"/>
    </row>
    <row r="201" ht="13.5" customHeight="1">
      <c r="D201" s="19"/>
      <c r="E201" s="19"/>
    </row>
    <row r="202" ht="13.5" customHeight="1">
      <c r="D202" s="19"/>
      <c r="E202" s="19"/>
    </row>
    <row r="203" ht="13.5" customHeight="1">
      <c r="D203" s="19"/>
      <c r="E203" s="19"/>
    </row>
    <row r="204" ht="13.5" customHeight="1">
      <c r="D204" s="19"/>
      <c r="E204" s="19"/>
    </row>
    <row r="205" ht="13.5" customHeight="1">
      <c r="D205" s="19"/>
      <c r="E205" s="19"/>
    </row>
    <row r="206" ht="13.5" customHeight="1">
      <c r="D206" s="19"/>
      <c r="E206" s="19"/>
    </row>
    <row r="207" ht="13.5" customHeight="1">
      <c r="D207" s="19"/>
      <c r="E207" s="19"/>
    </row>
    <row r="208" ht="13.5" customHeight="1">
      <c r="D208" s="19"/>
      <c r="E208" s="19"/>
    </row>
    <row r="209" ht="13.5" customHeight="1">
      <c r="D209" s="19"/>
      <c r="E209" s="19"/>
    </row>
    <row r="210" ht="13.5" customHeight="1">
      <c r="D210" s="19"/>
      <c r="E210" s="19"/>
    </row>
    <row r="211" ht="13.5" customHeight="1">
      <c r="D211" s="19"/>
      <c r="E211" s="19"/>
    </row>
    <row r="212" ht="13.5" customHeight="1">
      <c r="D212" s="19"/>
      <c r="E212" s="19"/>
    </row>
    <row r="213" ht="13.5" customHeight="1">
      <c r="D213" s="19"/>
      <c r="E213" s="19"/>
    </row>
    <row r="214" ht="13.5" customHeight="1">
      <c r="D214" s="19"/>
      <c r="E214" s="19"/>
    </row>
    <row r="215" ht="13.5" customHeight="1">
      <c r="D215" s="19"/>
      <c r="E215" s="19"/>
    </row>
    <row r="216" ht="13.5" customHeight="1">
      <c r="D216" s="19"/>
      <c r="E216" s="19"/>
    </row>
    <row r="217" ht="13.5" customHeight="1">
      <c r="D217" s="19"/>
      <c r="E217" s="19"/>
    </row>
    <row r="218" ht="13.5" customHeight="1">
      <c r="D218" s="19"/>
      <c r="E218" s="19"/>
    </row>
    <row r="219" ht="13.5" customHeight="1">
      <c r="D219" s="19"/>
      <c r="E219" s="19"/>
    </row>
    <row r="220" ht="13.5" customHeight="1">
      <c r="D220" s="19"/>
      <c r="E220" s="19"/>
    </row>
    <row r="221" ht="13.5" customHeight="1">
      <c r="D221" s="19"/>
      <c r="E221" s="19"/>
    </row>
    <row r="222" ht="13.5" customHeight="1">
      <c r="D222" s="19"/>
      <c r="E222" s="19"/>
    </row>
    <row r="223" ht="13.5" customHeight="1">
      <c r="D223" s="19"/>
      <c r="E223" s="19"/>
    </row>
    <row r="224" ht="13.5" customHeight="1">
      <c r="D224" s="19"/>
      <c r="E224" s="19"/>
    </row>
    <row r="225" ht="13.5" customHeight="1">
      <c r="D225" s="19"/>
      <c r="E225" s="19"/>
    </row>
    <row r="226" ht="13.5" customHeight="1">
      <c r="D226" s="19"/>
      <c r="E226" s="19"/>
    </row>
    <row r="227" ht="13.5" customHeight="1">
      <c r="D227" s="19"/>
      <c r="E227" s="19"/>
    </row>
    <row r="228" ht="13.5" customHeight="1">
      <c r="D228" s="19"/>
      <c r="E228" s="19"/>
    </row>
    <row r="229" ht="13.5" customHeight="1">
      <c r="D229" s="19"/>
      <c r="E229" s="19"/>
    </row>
    <row r="230" ht="13.5" customHeight="1">
      <c r="D230" s="19"/>
      <c r="E230" s="19"/>
    </row>
    <row r="231" ht="13.5" customHeight="1">
      <c r="D231" s="19"/>
      <c r="E231" s="19"/>
    </row>
    <row r="232" ht="13.5" customHeight="1">
      <c r="D232" s="19"/>
      <c r="E232" s="19"/>
    </row>
    <row r="233" ht="13.5" customHeight="1">
      <c r="D233" s="19"/>
      <c r="E233" s="19"/>
    </row>
    <row r="234" ht="13.5" customHeight="1">
      <c r="D234" s="19"/>
      <c r="E234" s="19"/>
    </row>
    <row r="235" ht="13.5" customHeight="1">
      <c r="D235" s="19"/>
      <c r="E235" s="19"/>
    </row>
    <row r="236" ht="13.5" customHeight="1">
      <c r="D236" s="19"/>
      <c r="E236" s="19"/>
    </row>
    <row r="237" ht="13.5" customHeight="1">
      <c r="D237" s="19"/>
      <c r="E237" s="19"/>
    </row>
    <row r="238" ht="13.5" customHeight="1">
      <c r="D238" s="19"/>
      <c r="E238" s="19"/>
    </row>
    <row r="239" ht="13.5" customHeight="1">
      <c r="D239" s="19"/>
      <c r="E239" s="19"/>
    </row>
    <row r="240" ht="13.5" customHeight="1">
      <c r="D240" s="19"/>
      <c r="E240" s="19"/>
    </row>
    <row r="241" ht="13.5" customHeight="1">
      <c r="D241" s="19"/>
      <c r="E241" s="19"/>
    </row>
    <row r="242" ht="13.5" customHeight="1">
      <c r="D242" s="19"/>
      <c r="E242" s="19"/>
    </row>
    <row r="243" ht="13.5" customHeight="1">
      <c r="D243" s="19"/>
      <c r="E243" s="19"/>
    </row>
    <row r="244" ht="13.5" customHeight="1">
      <c r="D244" s="19"/>
      <c r="E244" s="19"/>
    </row>
    <row r="245" ht="13.5" customHeight="1">
      <c r="D245" s="19"/>
      <c r="E245" s="19"/>
    </row>
    <row r="246" ht="13.5" customHeight="1">
      <c r="D246" s="19"/>
      <c r="E246" s="19"/>
    </row>
    <row r="247" ht="13.5" customHeight="1">
      <c r="D247" s="19"/>
      <c r="E247" s="19"/>
    </row>
    <row r="248" ht="13.5" customHeight="1">
      <c r="D248" s="19"/>
      <c r="E248" s="19"/>
    </row>
    <row r="249" ht="13.5" customHeight="1">
      <c r="D249" s="19"/>
      <c r="E249" s="19"/>
    </row>
    <row r="250" ht="13.5" customHeight="1">
      <c r="D250" s="19"/>
      <c r="E250" s="19"/>
    </row>
    <row r="251" ht="13.5" customHeight="1">
      <c r="D251" s="19"/>
      <c r="E251" s="19"/>
    </row>
    <row r="252" ht="13.5" customHeight="1">
      <c r="D252" s="19"/>
      <c r="E252" s="19"/>
    </row>
    <row r="253" ht="13.5" customHeight="1">
      <c r="D253" s="19"/>
      <c r="E253" s="19"/>
    </row>
    <row r="254" ht="13.5" customHeight="1">
      <c r="D254" s="19"/>
      <c r="E254" s="19"/>
    </row>
    <row r="255" ht="13.5" customHeight="1">
      <c r="D255" s="19"/>
      <c r="E255" s="19"/>
    </row>
    <row r="256" ht="13.5" customHeight="1">
      <c r="D256" s="19"/>
      <c r="E256" s="19"/>
    </row>
    <row r="257" ht="13.5" customHeight="1">
      <c r="D257" s="19"/>
      <c r="E257" s="19"/>
    </row>
    <row r="258" ht="13.5" customHeight="1">
      <c r="D258" s="19"/>
      <c r="E258" s="19"/>
    </row>
    <row r="259" ht="13.5" customHeight="1">
      <c r="D259" s="19"/>
      <c r="E259" s="19"/>
    </row>
    <row r="260" ht="13.5" customHeight="1">
      <c r="D260" s="19"/>
      <c r="E260" s="19"/>
    </row>
    <row r="261" ht="13.5" customHeight="1">
      <c r="D261" s="19"/>
      <c r="E261" s="19"/>
    </row>
    <row r="262" ht="13.5" customHeight="1">
      <c r="D262" s="19"/>
      <c r="E262" s="19"/>
    </row>
    <row r="263" ht="13.5" customHeight="1">
      <c r="D263" s="19"/>
      <c r="E263" s="19"/>
    </row>
    <row r="264" ht="13.5" customHeight="1">
      <c r="D264" s="19"/>
      <c r="E264" s="19"/>
    </row>
    <row r="265" ht="13.5" customHeight="1">
      <c r="D265" s="19"/>
      <c r="E265" s="19"/>
    </row>
    <row r="266" ht="13.5" customHeight="1">
      <c r="D266" s="19"/>
      <c r="E266" s="19"/>
    </row>
    <row r="267" ht="13.5" customHeight="1">
      <c r="D267" s="19"/>
      <c r="E267" s="19"/>
    </row>
    <row r="268" ht="13.5" customHeight="1">
      <c r="D268" s="19"/>
      <c r="E268" s="19"/>
    </row>
    <row r="269" ht="13.5" customHeight="1">
      <c r="D269" s="19"/>
      <c r="E269" s="19"/>
    </row>
    <row r="270" ht="13.5" customHeight="1">
      <c r="D270" s="19"/>
      <c r="E270" s="19"/>
    </row>
    <row r="271" ht="13.5" customHeight="1">
      <c r="D271" s="19"/>
      <c r="E271" s="19"/>
    </row>
    <row r="272" ht="13.5" customHeight="1">
      <c r="D272" s="19"/>
      <c r="E272" s="19"/>
    </row>
    <row r="273" ht="13.5" customHeight="1">
      <c r="D273" s="19"/>
      <c r="E273" s="19"/>
    </row>
    <row r="274" ht="13.5" customHeight="1">
      <c r="D274" s="19"/>
      <c r="E274" s="19"/>
    </row>
    <row r="275" ht="13.5" customHeight="1">
      <c r="D275" s="19"/>
      <c r="E275" s="19"/>
    </row>
    <row r="276" ht="13.5" customHeight="1">
      <c r="D276" s="19"/>
      <c r="E276" s="19"/>
    </row>
    <row r="277" ht="13.5" customHeight="1">
      <c r="D277" s="19"/>
      <c r="E277" s="19"/>
    </row>
    <row r="278" ht="13.5" customHeight="1">
      <c r="D278" s="19"/>
      <c r="E278" s="19"/>
    </row>
    <row r="279" ht="13.5" customHeight="1">
      <c r="D279" s="19"/>
      <c r="E279" s="19"/>
    </row>
    <row r="280" ht="13.5" customHeight="1">
      <c r="D280" s="19"/>
      <c r="E280" s="19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