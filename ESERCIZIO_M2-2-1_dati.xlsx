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wendy/Downloads/"/>
    </mc:Choice>
  </mc:AlternateContent>
  <xr:revisionPtr revIDLastSave="0" documentId="13_ncr:1_{76056B49-9FF2-954A-8133-F112465B98F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rodotti" sheetId="1" r:id="rId1"/>
  </sheets>
  <definedNames>
    <definedName name="_xlchart.v1.0" hidden="1">Prodotti!$A$1:$B$11</definedName>
    <definedName name="_xlchart.v1.1" hidden="1">Prodotti!$E$1</definedName>
    <definedName name="_xlchart.v1.2" hidden="1">Prodotti!$E$2:$E$11</definedName>
    <definedName name="_xlchart.v1.3" hidden="1">Prodotti!$A$1:$B$11</definedName>
    <definedName name="_xlchart.v1.4" hidden="1">Prodotti!$E$1</definedName>
    <definedName name="_xlchart.v1.5" hidden="1">Prodotti!$E$2:$E$11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E3" i="1"/>
  <c r="E4" i="1"/>
  <c r="E5" i="1"/>
  <c r="E6" i="1"/>
  <c r="E7" i="1"/>
  <c r="E8" i="1"/>
  <c r="E9" i="1"/>
  <c r="E10" i="1"/>
  <c r="E11" i="1"/>
  <c r="E2" i="1"/>
  <c r="F2" i="1" l="1"/>
  <c r="H2" i="1" s="1"/>
  <c r="H5" i="1"/>
  <c r="H4" i="1"/>
  <c r="H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<sst xmlns="http://schemas.openxmlformats.org/spreadsheetml/2006/main" count="27" uniqueCount="20">
  <si>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</si>
  <si>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</si>
  <si>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</si>
  <si>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</si>
  <si>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</si>
  <si>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</si>
  <si>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</si>
  <si>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</si>
  <si>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</si>
  <si>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</si>
  <si>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</si>
  <si>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</si>
  <si>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</si>
  <si>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</si>
  <si>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</si>
  <si>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</si>
  <si>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</si>
  <si>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</si>
  <si>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</si>
  <si>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Totale per azienda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</si>
</sst>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[$€-2]\ #,##0.00;[Red]\-[$€-2]\ #,##0.00"/>
  </numFmts>
  <fonts count="3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165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899-3142-804E-2474F842AF2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899-3142-804E-2474F842AF2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899-3142-804E-2474F842AF2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99-3142-804E-2474F842AF2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899-3142-804E-2474F842AF2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99-3142-804E-2474F842AF2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99-3142-804E-2474F842AF2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899-3142-804E-2474F842AF2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99-3142-804E-2474F842AF2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899-3142-804E-2474F842AF2A}"/>
              </c:ext>
            </c:extLst>
          </c:dPt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9-3142-804E-2474F842A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7334944"/>
        <c:axId val="2062010704"/>
      </c:barChart>
      <c:catAx>
        <c:axId val="10673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62010704"/>
        <c:crosses val="autoZero"/>
        <c:auto val="1"/>
        <c:lblAlgn val="ctr"/>
        <c:lblOffset val="100"/>
        <c:noMultiLvlLbl val="0"/>
      </c:catAx>
      <c:valAx>
        <c:axId val="206201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673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Prodotti!$H$1</c:f>
              <c:strCache>
                <c:ptCount val="1"/>
                <c:pt idx="0">
                  <c:v>Totale per azienda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Prodotti!$F$2:$F$5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Prodotti!$H$2:$H$5</c:f>
              <c:numCache>
                <c:formatCode>General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8-D045-8EC8-91746ACBC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14</xdr:row>
      <xdr:rowOff>0</xdr:rowOff>
    </xdr:from>
    <xdr:to>
      <xdr:col>3</xdr:col>
      <xdr:colOff>863600</xdr:colOff>
      <xdr:row>36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631448F-4434-29BA-5749-7594AFF95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558800</xdr:colOff>
      <xdr:row>18</xdr:row>
      <xdr:rowOff>152400</xdr:rowOff>
    </xdr:from>
    <xdr:to>
      <xdr:col>8</xdr:col>
      <xdr:colOff>850900</xdr:colOff>
      <xdr:row>33</xdr:row>
      <xdr:rowOff>38100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5D751001-5D4B-8C8F-B662-1570D7970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tabSelected="1" workbookViewId="0">
      <selection activeCell="A12" sqref="A12:XFD12"/>
    </sheetView>
  </sheetViews>
  <sheetFormatPr baseColWidth="10" defaultColWidth="12.6640625" defaultRowHeight="15.75" customHeight="1" x14ac:dyDescent="0.15"/>
  <cols>
    <col min="1" max="1" width="19.6640625" customWidth="1"/>
    <col min="2" max="3" width="22.33203125" customWidth="1"/>
    <col min="4" max="4" width="24" customWidth="1"/>
    <col min="6" max="6" width="18.1640625" bestFit="1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/>
      <c r="H1" s="1" t="s">
        <v>19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5</v>
      </c>
      <c r="B2" s="2" t="s">
        <v>6</v>
      </c>
      <c r="C2" s="2">
        <v>500</v>
      </c>
      <c r="D2" s="3">
        <v>15.75</v>
      </c>
      <c r="E2" s="4">
        <f>C2*D2</f>
        <v>7875</v>
      </c>
      <c r="F2" t="str" cm="1">
        <f t="array" ref="F2:F5">_xlfn.UNIQUE(A2:A11)</f>
        <v>Tech Innovations Ltd.</v>
      </c>
      <c r="H2">
        <f>SUMIF($A$2:$A$11,F2,$E$2:$E$11)</f>
        <v>25575</v>
      </c>
    </row>
    <row r="3" spans="1:26" ht="15.75" customHeight="1" x14ac:dyDescent="0.15">
      <c r="A3" s="2" t="s">
        <v>5</v>
      </c>
      <c r="B3" s="2" t="s">
        <v>7</v>
      </c>
      <c r="C3" s="2">
        <v>1200</v>
      </c>
      <c r="D3" s="5">
        <v>8.5</v>
      </c>
      <c r="E3" s="4">
        <f t="shared" ref="E3:E11" si="0">C3*D3</f>
        <v>10200</v>
      </c>
      <c r="F3" t="str">
        <v>SolarTech Solutions</v>
      </c>
      <c r="H3">
        <f>SUMIF(A2:A11,F3,E2:E11)</f>
        <v>31100</v>
      </c>
    </row>
    <row r="4" spans="1:26" ht="15.75" customHeight="1" x14ac:dyDescent="0.15">
      <c r="A4" s="2" t="s">
        <v>8</v>
      </c>
      <c r="B4" s="2" t="s">
        <v>9</v>
      </c>
      <c r="C4" s="2">
        <v>800</v>
      </c>
      <c r="D4" s="5">
        <v>12.25</v>
      </c>
      <c r="E4" s="4">
        <f t="shared" si="0"/>
        <v>9800</v>
      </c>
      <c r="F4" t="str">
        <v>AquaLux Dynamics</v>
      </c>
      <c r="H4">
        <f>SUMIF(A2:A11,F4,E2:E11)</f>
        <v>37725</v>
      </c>
    </row>
    <row r="5" spans="1:26" ht="15.75" customHeight="1" x14ac:dyDescent="0.15">
      <c r="A5" s="2" t="s">
        <v>5</v>
      </c>
      <c r="B5" s="2" t="s">
        <v>10</v>
      </c>
      <c r="C5" s="2">
        <v>300</v>
      </c>
      <c r="D5" s="5">
        <v>25</v>
      </c>
      <c r="E5" s="4">
        <f t="shared" si="0"/>
        <v>7500</v>
      </c>
      <c r="F5" t="str">
        <v>EcoVibe Solutions</v>
      </c>
      <c r="H5">
        <f>SUMIF(A2:A11,F5,E2:E11)</f>
        <v>13500</v>
      </c>
    </row>
    <row r="6" spans="1:26" ht="15.75" customHeight="1" x14ac:dyDescent="0.15">
      <c r="A6" s="2" t="s">
        <v>8</v>
      </c>
      <c r="B6" s="2" t="s">
        <v>11</v>
      </c>
      <c r="C6" s="2">
        <v>1500</v>
      </c>
      <c r="D6" s="5">
        <v>6.5</v>
      </c>
      <c r="E6" s="4">
        <f t="shared" si="0"/>
        <v>9750</v>
      </c>
    </row>
    <row r="7" spans="1:26" ht="15.75" customHeight="1" x14ac:dyDescent="0.15">
      <c r="A7" s="2" t="s">
        <v>12</v>
      </c>
      <c r="B7" s="2" t="s">
        <v>13</v>
      </c>
      <c r="C7" s="2">
        <v>700</v>
      </c>
      <c r="D7" s="5">
        <v>18.75</v>
      </c>
      <c r="E7" s="4">
        <f t="shared" si="0"/>
        <v>13125</v>
      </c>
    </row>
    <row r="8" spans="1:26" ht="15.75" customHeight="1" x14ac:dyDescent="0.15">
      <c r="A8" s="2" t="s">
        <v>12</v>
      </c>
      <c r="B8" s="2" t="s">
        <v>14</v>
      </c>
      <c r="C8" s="2">
        <v>900</v>
      </c>
      <c r="D8" s="5">
        <v>14</v>
      </c>
      <c r="E8" s="4">
        <f t="shared" si="0"/>
        <v>12600</v>
      </c>
    </row>
    <row r="9" spans="1:26" ht="15.75" customHeight="1" x14ac:dyDescent="0.15">
      <c r="A9" s="2" t="s">
        <v>8</v>
      </c>
      <c r="B9" s="2" t="s">
        <v>15</v>
      </c>
      <c r="C9" s="2">
        <v>1100</v>
      </c>
      <c r="D9" s="5">
        <v>10.5</v>
      </c>
      <c r="E9" s="4">
        <f t="shared" si="0"/>
        <v>11550</v>
      </c>
    </row>
    <row r="10" spans="1:26" ht="15.75" customHeight="1" x14ac:dyDescent="0.15">
      <c r="A10" s="2" t="s">
        <v>12</v>
      </c>
      <c r="B10" s="2" t="s">
        <v>16</v>
      </c>
      <c r="C10" s="2">
        <v>600</v>
      </c>
      <c r="D10" s="5">
        <v>20</v>
      </c>
      <c r="E10" s="4">
        <f t="shared" si="0"/>
        <v>12000</v>
      </c>
    </row>
    <row r="11" spans="1:26" ht="15.75" customHeight="1" x14ac:dyDescent="0.15">
      <c r="A11" s="2" t="s">
        <v>17</v>
      </c>
      <c r="B11" s="2" t="s">
        <v>18</v>
      </c>
      <c r="C11" s="2">
        <v>1000</v>
      </c>
      <c r="D11" s="5">
        <v>13.5</v>
      </c>
      <c r="E11" s="4">
        <f t="shared" si="0"/>
        <v>13500</v>
      </c>
    </row>
    <row r="12" spans="1:26" ht="15.75" customHeight="1" x14ac:dyDescent="0.15">
      <c r="A12" s="2"/>
      <c r="B12" s="2"/>
      <c r="C12" s="2"/>
      <c r="D12" s="5"/>
      <c r="E12" s="4"/>
    </row>
  </sheetData>
  <pageMargins left="0.5" right="0.5" top="1" bottom="1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SGAMBATO</cp:lastModifiedBy>
  <dcterms:modified xsi:type="dcterms:W3CDTF">2026-02-21T18:47:14Z</dcterms:modified>
</cp:coreProperties>
</file>